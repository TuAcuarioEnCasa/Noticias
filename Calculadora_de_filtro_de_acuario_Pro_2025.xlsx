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_rels/workbook.xml.rels" ContentType="application/vnd.openxmlformats-package.relationships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dor_filtro" sheetId="1" state="visible" r:id="rId3"/>
    <sheet name="Tabla Biomasa" sheetId="2" state="visible" r:id="rId4"/>
    <sheet name="Resumen Visual" sheetId="3" state="visible" r:id="rId5"/>
  </sheets>
  <definedNames>
    <definedName function="false" hidden="false" localSheetId="0" name="_xlnm.Print_Area" vbProcedure="false">Calculador_filtro!$A:$F</definedName>
    <definedName function="false" hidden="false" localSheetId="0" name="_xlnm.Print_Titles" vbProcedure="false">Calculador_filtro!1:2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32" authorId="0">
      <text>
        <r>
          <rPr>
            <sz val="10"/>
            <rFont val="Arial"/>
            <family val="2"/>
          </rPr>
          <t xml:space="preserve">Elije del menú desplegable el tipo de plantación que posee tu acuario.</t>
        </r>
      </text>
    </comment>
    <comment ref="A37" authorId="0">
      <text>
        <r>
          <rPr>
            <sz val="10"/>
            <rFont val="Arial"/>
            <family val="2"/>
          </rPr>
          <t xml:space="preserve">Es un factor que el acuarista define para corregir pérdidas de rendimiento a largo plazo, como suciedad, saturación del material filtrante, desgaste del rotor, etc.</t>
        </r>
      </text>
    </comment>
  </commentList>
</comments>
</file>

<file path=xl/sharedStrings.xml><?xml version="1.0" encoding="utf-8"?>
<sst xmlns="http://schemas.openxmlformats.org/spreadsheetml/2006/main" count="82" uniqueCount="74">
  <si>
    <t xml:space="preserve">ACUARIO CALCULADOR DE FILTRO PRO 2025</t>
  </si>
  <si>
    <t xml:space="preserve">(por Roger - Tu Acuario en Casa)</t>
  </si>
  <si>
    <t xml:space="preserve">                  Llenar solo las celdas en azul</t>
  </si>
  <si>
    <t xml:space="preserve">Largo (cm) =</t>
  </si>
  <si>
    <t xml:space="preserve">Ancho (cm)=</t>
  </si>
  <si>
    <t xml:space="preserve">Alto (cm) =</t>
  </si>
  <si>
    <t xml:space="preserve">Espesor sustrato (cm)</t>
  </si>
  <si>
    <t xml:space="preserve">Volumen decoraciones Aproximado (L)</t>
  </si>
  <si>
    <t xml:space="preserve">                                                        Colocar  valores A y B según la Tabla Biomasa</t>
  </si>
  <si>
    <t xml:space="preserve">Especie (hasta 10 especies)</t>
  </si>
  <si>
    <t xml:space="preserve">Cantidad</t>
  </si>
  <si>
    <t xml:space="preserve">Longitud Promedio (cm)</t>
  </si>
  <si>
    <t xml:space="preserve">Peso Inicial/longitud Factor A</t>
  </si>
  <si>
    <t xml:space="preserve"> Crecimiento Isométrico Factor B</t>
  </si>
  <si>
    <t xml:space="preserve">Biomasa</t>
  </si>
  <si>
    <t xml:space="preserve">[Vacío]</t>
  </si>
  <si>
    <t xml:space="preserve">Temperatura (°C)</t>
  </si>
  <si>
    <t xml:space="preserve">pH</t>
  </si>
  <si>
    <t xml:space="preserve">Comidas por día</t>
  </si>
  <si>
    <t xml:space="preserve">Plantación (Elegir de la lista desplegable)</t>
  </si>
  <si>
    <t xml:space="preserve">Plantación moderada</t>
  </si>
  <si>
    <t xml:space="preserve">Tipo de filtro (Elegir de la lista desplegable)</t>
  </si>
  <si>
    <t xml:space="preserve">Canister</t>
  </si>
  <si>
    <t xml:space="preserve">Altura de elevación (cm)</t>
  </si>
  <si>
    <t xml:space="preserve">Factor de rendimiento (Elegir de la lista desplegable)</t>
  </si>
  <si>
    <t xml:space="preserve">Sin Corrección</t>
  </si>
  <si>
    <t xml:space="preserve">Volumen Bruto (L)</t>
  </si>
  <si>
    <t xml:space="preserve">Volumen Sustrato y Decoraciones (L)</t>
  </si>
  <si>
    <t xml:space="preserve">Volumen Neto (L)</t>
  </si>
  <si>
    <t xml:space="preserve">Carga Biomasa Total (gr)</t>
  </si>
  <si>
    <t xml:space="preserve">Carga Biomasa Aproximada (g/L)</t>
  </si>
  <si>
    <t xml:space="preserve">Factor Base de Flujo (x)</t>
  </si>
  <si>
    <t xml:space="preserve">Ajuste Temperatura (%)</t>
  </si>
  <si>
    <t xml:space="preserve">Ajuste pH (%)</t>
  </si>
  <si>
    <t xml:space="preserve">Ajuste Comidas (%)</t>
  </si>
  <si>
    <t xml:space="preserve">Ajuste Plantas (%) </t>
  </si>
  <si>
    <t xml:space="preserve">Pérdida por Altura (10 % cada 30 cm)</t>
  </si>
  <si>
    <t xml:space="preserve">Factor Por Tipo de Filtro (%)</t>
  </si>
  <si>
    <t xml:space="preserve">Flujo  (L/h)</t>
  </si>
  <si>
    <t xml:space="preserve">Flujo REAL Recomendado (L/h)</t>
  </si>
  <si>
    <t xml:space="preserve">Rotación REAL Recomendada (veces/hora) </t>
  </si>
  <si>
    <t xml:space="preserve">             Ajusta la salida del filtro si el Flujo Real es mayor.  Litros del balde /tiempo de llenado (segundos) × 3600 =Flujo real L/h.</t>
  </si>
  <si>
    <t xml:space="preserve">            "No aplica para sistemas plantados intensivos, marinos especializados o acuarios de cría con alta carga orgánica temporal."</t>
  </si>
  <si>
    <t xml:space="preserve">            El Flujo REAL puede verse afectado por el diámetro y codos de las mangueras, material  filtrante, válvulas, etc.</t>
  </si>
  <si>
    <t xml:space="preserve">                                                             TABLA DE ESPECIES PARA EL CALCULO DE LA BIOMASA</t>
  </si>
  <si>
    <t xml:space="preserve">                                       Elige los valores A y B según la especie </t>
  </si>
  <si>
    <t xml:space="preserve">Forma del cuerpo</t>
  </si>
  <si>
    <t xml:space="preserve">Descripción Morfológica </t>
  </si>
  <si>
    <t xml:space="preserve">Valor Típico de A (Promedio)</t>
  </si>
  <si>
    <t xml:space="preserve">Valor Típico de B (Promedio)</t>
  </si>
  <si>
    <t xml:space="preserve">Especies de Acuario </t>
  </si>
  <si>
    <t xml:space="preserve">Muy Alargado </t>
  </si>
  <si>
    <t xml:space="preserve">Cuerpo muy delgado y cilíndrico </t>
  </si>
  <si>
    <t xml:space="preserve">Kuhli Loach (Pangio kuhlii), Pez Cuchillo (Apteronotus albifrons), Pangio shelfordii / myersi, Black Ghost Knifefish, Pez Lápiz Nannostomus beckfordi, Pez Lápiz Nannostomus eques (Diptail), Horseface Loach (Acantopsis)   </t>
  </si>
  <si>
    <t xml:space="preserve">Alargado / Delgado </t>
  </si>
  <si>
    <t xml:space="preserve">Cuerpo tipo torpedo, aerodinámico </t>
  </si>
  <si>
    <t xml:space="preserve">Tetra Neón, Tetra Cardenal, Nariz de Borracho, Neón Chino, Pez Lápiz. Cíclido: Julidochromis regani (Cíclido africano alargado) Betta Salvaje, Rasbora Galaxy (Danio margaritatus), Rasbora Espejo (Boraras brigittae), Danio rerio (Cebra), Danio kyathit (Kyathit), Julidochromis regani / marlieri</t>
  </si>
  <si>
    <t xml:space="preserve">Estándar /Torpedo</t>
  </si>
  <si>
    <t xml:space="preserve">Forma típica, crecimiento isométrico</t>
  </si>
  <si>
    <t xml:space="preserve">Guppy, Guppy Endler, Molly, Barbo Tigre. Cíclidos Africanos Mbuna (Labidochromis caeruleus, Maylandia estherae) Betta (variedades ornamentales), Molly vela / balón, Platy, Barbo Cherry, Barbo Rosy, Xiphophorus hellerii (Espada), Mbuna (Maylandia, Pseudotropheus), Ramirezi (clásico), Kribensis (Pelvicachromis pulcher), Tiburón Pangasius / Iridescent</t>
  </si>
  <si>
    <t xml:space="preserve">Comprimido Lateralmente </t>
  </si>
  <si>
    <t xml:space="preserve">Cuerpo alto y plano (discoidal)</t>
  </si>
  <si>
    <t xml:space="preserve">Pez Ángel (Pterophyllum scalare - Americano), Pez Disco (Symphysodon spp. - Americano), Botia Payaso, Coridora, Monja, Altum, Botia Payaso, L333 King Tiger Pleco, LDA06 Snowball Pleco, Ancistrus sp. (común), Ancistrus super red / L144, Otocinclus</t>
  </si>
  <si>
    <t xml:space="preserve">Robusto / Redondeado </t>
  </si>
  <si>
    <t xml:space="preserve">Cuerpo grueso, a veces "gordito"</t>
  </si>
  <si>
    <t xml:space="preserve">Goldfish (variedades ornamentales). Cíclido: Flowerhorn (variedad híbrida, Cíclido Severum, Texas / Green Texas, Geophagus tapajos / red head</t>
  </si>
  <si>
    <t xml:space="preserve">Muy Robusto / Ovalado </t>
  </si>
  <si>
    <t xml:space="preserve">Cuerpo muy denso y musculoso</t>
  </si>
  <si>
    <t xml:space="preserve">Cíclido Joya (Hemichromis spp. - Africano), Óscar (Astronotus ocellatus - Americano), Cíclido Convicto, Channa, Dragón Bichir, Arowana, Jack Dempsey, Polypterus senegalus / delhezi, Red Devil / Midas    </t>
  </si>
  <si>
    <t xml:space="preserve">Indicador</t>
  </si>
  <si>
    <t xml:space="preserve">Valor</t>
  </si>
  <si>
    <t xml:space="preserve">Flujo (L/h)</t>
  </si>
  <si>
    <t xml:space="preserve">Flujo REAL Necesario (L/h)</t>
  </si>
  <si>
    <t xml:space="preserve">Turnover Final (veces/hora)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</si>
</sst>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"/>
    <numFmt numFmtId="167" formatCode="0.0000"/>
    <numFmt numFmtId="168" formatCode="0.00;[RED]\-0.00"/>
    <numFmt numFmtId="169" formatCode="&quot;VERDADERO&quot;;&quot;VERDADERO&quot;;&quot;FALSO&quot;"/>
    <numFmt numFmtId="170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mbria"/>
      <family val="0"/>
      <charset val="1"/>
    </font>
    <font>
      <b val="true"/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i val="true"/>
      <sz val="13"/>
      <color theme="1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b val="true"/>
      <i val="true"/>
      <sz val="14"/>
      <color theme="1"/>
      <name val="Calibri"/>
      <family val="2"/>
      <charset val="1"/>
    </font>
    <font>
      <sz val="10"/>
      <name val="Arial"/>
      <family val="2"/>
    </font>
    <font>
      <b val="true"/>
      <sz val="12"/>
      <color theme="1"/>
      <name val="Cambria"/>
      <family val="1"/>
      <charset val="1"/>
    </font>
    <font>
      <b val="true"/>
      <sz val="13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A9D08E"/>
        <bgColor rgb="FFB3B3B3"/>
      </patternFill>
    </fill>
    <fill>
      <patternFill patternType="solid">
        <fgColor rgb="FFD9E1F2"/>
        <bgColor rgb="FFD9D9D9"/>
      </patternFill>
    </fill>
    <fill>
      <patternFill patternType="solid">
        <fgColor rgb="FFB4C7DC"/>
        <bgColor rgb="FFB3B3B3"/>
      </patternFill>
    </fill>
    <fill>
      <patternFill patternType="solid">
        <fgColor rgb="FFFFB66C"/>
        <bgColor rgb="FFF4B084"/>
      </patternFill>
    </fill>
    <fill>
      <patternFill patternType="solid">
        <fgColor rgb="FF81D41A"/>
        <bgColor rgb="FFA9D08E"/>
      </patternFill>
    </fill>
    <fill>
      <patternFill patternType="solid">
        <fgColor rgb="FFF4B084"/>
        <bgColor rgb="FFFFB66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0" fillId="4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4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7" fontId="0" fillId="5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4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7" fillId="4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5" fontId="0" fillId="4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8" fontId="0" fillId="4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5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9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6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0" fillId="7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6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6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Calibri"/>
        <charset val="1"/>
        <family val="2"/>
        <color rgb="FFCC0000"/>
        <sz val="11"/>
      </font>
    </dxf>
    <dxf>
      <font>
        <name val="Calibri"/>
        <charset val="1"/>
        <family val="2"/>
        <color rgb="FFCC0000"/>
        <sz val="11"/>
      </font>
    </dxf>
    <dxf>
      <font>
        <name val="Calibri"/>
        <charset val="1"/>
        <family val="2"/>
        <color rgb="FF006600"/>
        <sz val="11"/>
      </font>
      <fill>
        <patternFill>
          <bgColor rgb="FFCCFF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A9D08E"/>
      <rgbColor rgb="FFCCFFCC"/>
      <rgbColor rgb="FFFFFF99"/>
      <rgbColor rgb="FFB3B3B3"/>
      <rgbColor rgb="FFF4B084"/>
      <rgbColor rgb="FFCC99FF"/>
      <rgbColor rgb="FFFFB66C"/>
      <rgbColor rgb="FF3366FF"/>
      <rgbColor rgb="FF33CCCC"/>
      <rgbColor rgb="FF81D41A"/>
      <rgbColor rgb="FFFFCC00"/>
      <rgbColor rgb="FFFF9900"/>
      <rgbColor rgb="FFFF6600"/>
      <rgbColor rgb="FF4F81BD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  <a:ea typeface="DejaVu Sans"/>
              </a:rPr>
              <a:t>Comparativa de Flujo y Volumen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'Resumen Visual'!$B$1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Visual'!$A$2:$A$5</c:f>
              <c:strCache>
                <c:ptCount val="4"/>
                <c:pt idx="0">
                  <c:v>Volumen Neto (L)</c:v>
                </c:pt>
                <c:pt idx="1">
                  <c:v>Flujo (L/h)</c:v>
                </c:pt>
                <c:pt idx="2">
                  <c:v>Flujo REAL Necesario (L/h)</c:v>
                </c:pt>
                <c:pt idx="3">
                  <c:v>Turnover Final (veces/hora)</c:v>
                </c:pt>
              </c:strCache>
            </c:strRef>
          </c:cat>
          <c:val>
            <c:numRef>
              <c:f>'Resumen Visual'!$D$2:$D$5</c:f>
              <c:numCache>
                <c:formatCode>0.00</c:formatCode>
                <c:ptCount val="4"/>
                <c:pt idx="0">
                  <c:v>300</c:v>
                </c:pt>
                <c:pt idx="1">
                  <c:v>600</c:v>
                </c:pt>
                <c:pt idx="2">
                  <c:v>686.205</c:v>
                </c:pt>
                <c:pt idx="3">
                  <c:v>2</c:v>
                </c:pt>
              </c:numCache>
            </c:numRef>
          </c:val>
        </c:ser>
        <c:gapWidth val="150"/>
        <c:overlap val="0"/>
        <c:axId val="64489029"/>
        <c:axId val="84122041"/>
      </c:barChart>
      <c:catAx>
        <c:axId val="644890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rPr>
                  <a:t>Indicador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84122041"/>
        <c:crosses val="autoZero"/>
        <c:auto val="1"/>
        <c:lblAlgn val="ctr"/>
        <c:lblOffset val="100"/>
        <c:noMultiLvlLbl val="0"/>
      </c:catAx>
      <c:valAx>
        <c:axId val="8412204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  <a:ea typeface="DejaVu Sans"/>
                  </a:rPr>
                  <a:t>Valor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6448902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8640</xdr:colOff>
      <xdr:row>2</xdr:row>
      <xdr:rowOff>9360</xdr:rowOff>
    </xdr:from>
    <xdr:to>
      <xdr:col>15</xdr:col>
      <xdr:colOff>198000</xdr:colOff>
      <xdr:row>25</xdr:row>
      <xdr:rowOff>162720</xdr:rowOff>
    </xdr:to>
    <xdr:graphicFrame>
      <xdr:nvGraphicFramePr>
        <xdr:cNvPr id="1" name="Chart 1"/>
        <xdr:cNvGraphicFramePr/>
      </xdr:nvGraphicFramePr>
      <xdr:xfrm>
        <a:off x="3757680" y="390240"/>
        <a:ext cx="6304320" cy="453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10" activeCellId="0" sqref="B10"/>
    </sheetView>
  </sheetViews>
  <sheetFormatPr defaultColWidth="8.6796875" defaultRowHeight="15" customHeight="true" zeroHeight="true" outlineLevelRow="0" outlineLevelCol="0"/>
  <cols>
    <col collapsed="false" customWidth="true" hidden="false" outlineLevel="0" max="1" min="1" style="1" width="45.49"/>
    <col collapsed="false" customWidth="true" hidden="false" outlineLevel="0" max="2" min="2" style="2" width="18.92"/>
    <col collapsed="false" customWidth="true" hidden="false" outlineLevel="0" max="3" min="3" style="3" width="14.74"/>
    <col collapsed="false" customWidth="true" hidden="false" outlineLevel="0" max="5" min="4" style="3" width="13.35"/>
    <col collapsed="false" customWidth="true" hidden="false" outlineLevel="0" max="6" min="6" style="1" width="14.6"/>
    <col collapsed="false" customWidth="true" hidden="true" outlineLevel="0" max="7" min="7" style="1" width="6.96"/>
    <col collapsed="false" customWidth="false" hidden="true" outlineLevel="0" max="16383" min="8" style="1" width="8.68"/>
    <col collapsed="false" customWidth="true" hidden="true" outlineLevel="0" max="16384" min="16384" style="1" width="4.59"/>
  </cols>
  <sheetData>
    <row r="1" customFormat="false" ht="15" hidden="false" customHeight="true" outlineLevel="0" collapsed="false">
      <c r="A1" s="4" t="s">
        <v>0</v>
      </c>
      <c r="B1" s="4"/>
      <c r="C1" s="4"/>
      <c r="D1" s="4"/>
      <c r="E1" s="4"/>
      <c r="F1" s="4"/>
    </row>
    <row r="2" customFormat="false" ht="15" hidden="false" customHeight="true" outlineLevel="0" collapsed="false">
      <c r="A2" s="4" t="s">
        <v>1</v>
      </c>
      <c r="B2" s="4"/>
      <c r="C2" s="4"/>
      <c r="D2" s="4"/>
      <c r="E2" s="4"/>
      <c r="F2" s="4"/>
    </row>
    <row r="3" customFormat="false" ht="15" hidden="false" customHeight="true" outlineLevel="0" collapsed="false">
      <c r="A3" s="5"/>
      <c r="B3" s="6" t="s">
        <v>2</v>
      </c>
      <c r="C3" s="5"/>
      <c r="D3" s="7"/>
      <c r="E3" s="7"/>
      <c r="F3" s="5"/>
    </row>
    <row r="4" customFormat="false" ht="15" hidden="false" customHeight="false" outlineLevel="0" collapsed="false">
      <c r="A4" s="5"/>
      <c r="B4" s="5"/>
      <c r="C4" s="5"/>
      <c r="D4" s="7"/>
      <c r="E4" s="7"/>
      <c r="F4" s="5"/>
    </row>
    <row r="5" customFormat="false" ht="15" hidden="false" customHeight="true" outlineLevel="0" collapsed="false">
      <c r="A5" s="8" t="str">
        <f aca="false">" === Dimensiones del Acuario (cm) ==="</f>
        <v> === Dimensiones del Acuario (cm) ===</v>
      </c>
      <c r="B5" s="1"/>
      <c r="C5" s="1"/>
    </row>
    <row r="6" customFormat="false" ht="15" hidden="false" customHeight="true" outlineLevel="0" collapsed="false">
      <c r="A6" s="9" t="s">
        <v>3</v>
      </c>
      <c r="B6" s="10" t="n">
        <v>120</v>
      </c>
      <c r="C6" s="1"/>
    </row>
    <row r="7" customFormat="false" ht="15" hidden="false" customHeight="false" outlineLevel="0" collapsed="false">
      <c r="A7" s="9" t="s">
        <v>4</v>
      </c>
      <c r="B7" s="10" t="n">
        <v>50</v>
      </c>
      <c r="C7" s="1"/>
    </row>
    <row r="8" customFormat="false" ht="15" hidden="false" customHeight="false" outlineLevel="0" collapsed="false">
      <c r="A8" s="9" t="s">
        <v>5</v>
      </c>
      <c r="B8" s="10" t="n">
        <v>50</v>
      </c>
      <c r="C8" s="1"/>
    </row>
    <row r="9" customFormat="false" ht="15" hidden="false" customHeight="true" outlineLevel="0" collapsed="false">
      <c r="A9" s="8" t="str">
        <f aca="false">"=== Sustrato y Decoraciones ==="</f>
        <v>=== Sustrato y Decoraciones ===</v>
      </c>
      <c r="B9" s="1"/>
      <c r="C9" s="1"/>
    </row>
    <row r="10" customFormat="false" ht="15" hidden="false" customHeight="true" outlineLevel="0" collapsed="false">
      <c r="A10" s="11" t="s">
        <v>6</v>
      </c>
      <c r="B10" s="10"/>
      <c r="C10" s="9"/>
    </row>
    <row r="11" customFormat="false" ht="15" hidden="false" customHeight="true" outlineLevel="0" collapsed="false">
      <c r="A11" s="11" t="s">
        <v>7</v>
      </c>
      <c r="B11" s="10"/>
      <c r="C11" s="1"/>
    </row>
    <row r="12" customFormat="false" ht="15" hidden="false" customHeight="true" outlineLevel="0" collapsed="false">
      <c r="B12" s="12"/>
      <c r="C12" s="1"/>
    </row>
    <row r="13" customFormat="false" ht="15" hidden="false" customHeight="true" outlineLevel="0" collapsed="false">
      <c r="A13" s="8" t="str">
        <f aca="false">"=== Cálculo de Biomasa ==="</f>
        <v>=== Cálculo de Biomasa ===</v>
      </c>
      <c r="B13" s="12"/>
      <c r="C13" s="1"/>
    </row>
    <row r="14" customFormat="false" ht="15" hidden="false" customHeight="false" outlineLevel="0" collapsed="false">
      <c r="A14" s="11"/>
      <c r="B14" s="11"/>
      <c r="C14" s="11"/>
      <c r="D14" s="13" t="s">
        <v>8</v>
      </c>
      <c r="E14" s="14"/>
    </row>
    <row r="15" customFormat="false" ht="15" hidden="true" customHeight="true" outlineLevel="0" collapsed="false">
      <c r="A15" s="3" t="str">
        <f aca="false">"=== peces (hasta 10 especies) ==="</f>
        <v>=== peces (hasta 10 especies) ===</v>
      </c>
      <c r="B15" s="1"/>
      <c r="C15" s="1"/>
    </row>
    <row r="16" customFormat="false" ht="38.05" hidden="false" customHeight="true" outlineLevel="0" collapsed="false">
      <c r="A16" s="15" t="s">
        <v>9</v>
      </c>
      <c r="B16" s="16" t="s">
        <v>10</v>
      </c>
      <c r="C16" s="17" t="s">
        <v>11</v>
      </c>
      <c r="D16" s="17" t="s">
        <v>12</v>
      </c>
      <c r="E16" s="17" t="s">
        <v>13</v>
      </c>
      <c r="F16" s="15" t="s">
        <v>14</v>
      </c>
    </row>
    <row r="17" customFormat="false" ht="15" hidden="false" customHeight="true" outlineLevel="0" collapsed="false">
      <c r="A17" s="18"/>
      <c r="B17" s="19"/>
      <c r="C17" s="10"/>
      <c r="D17" s="20"/>
      <c r="E17" s="20"/>
      <c r="F17" s="21" t="n">
        <f aca="false">ROUND(B17*D17*(C17^E17),0)</f>
        <v>0</v>
      </c>
    </row>
    <row r="18" customFormat="false" ht="15" hidden="false" customHeight="true" outlineLevel="0" collapsed="false">
      <c r="A18" s="18"/>
      <c r="B18" s="19"/>
      <c r="C18" s="10"/>
      <c r="D18" s="22"/>
      <c r="E18" s="22"/>
      <c r="F18" s="21" t="n">
        <f aca="false">ROUND(B18*D18*(C18^E18),0)</f>
        <v>0</v>
      </c>
    </row>
    <row r="19" customFormat="false" ht="15" hidden="false" customHeight="true" outlineLevel="0" collapsed="false">
      <c r="A19" s="23" t="s">
        <v>15</v>
      </c>
      <c r="B19" s="19"/>
      <c r="C19" s="10"/>
      <c r="D19" s="22"/>
      <c r="E19" s="22"/>
      <c r="F19" s="21" t="n">
        <f aca="false">ROUND(B19*D19*(C19^E19),0)</f>
        <v>0</v>
      </c>
    </row>
    <row r="20" customFormat="false" ht="15" hidden="false" customHeight="true" outlineLevel="0" collapsed="false">
      <c r="A20" s="18" t="s">
        <v>15</v>
      </c>
      <c r="B20" s="19"/>
      <c r="C20" s="10"/>
      <c r="D20" s="22"/>
      <c r="E20" s="22"/>
      <c r="F20" s="21" t="n">
        <f aca="false">ROUND(B20*D20*(C20^E20),0)</f>
        <v>0</v>
      </c>
    </row>
    <row r="21" customFormat="false" ht="15" hidden="false" customHeight="true" outlineLevel="0" collapsed="false">
      <c r="A21" s="18" t="s">
        <v>15</v>
      </c>
      <c r="B21" s="19"/>
      <c r="C21" s="10"/>
      <c r="D21" s="22"/>
      <c r="E21" s="22"/>
      <c r="F21" s="21" t="n">
        <f aca="false">ROUND(B21*D21*(C21^E21),0)</f>
        <v>0</v>
      </c>
    </row>
    <row r="22" customFormat="false" ht="15" hidden="false" customHeight="true" outlineLevel="0" collapsed="false">
      <c r="A22" s="18" t="s">
        <v>15</v>
      </c>
      <c r="B22" s="19"/>
      <c r="C22" s="10"/>
      <c r="D22" s="22"/>
      <c r="E22" s="22"/>
      <c r="F22" s="21" t="n">
        <f aca="false">ROUND(B22*D22*(C22^E22),0)</f>
        <v>0</v>
      </c>
    </row>
    <row r="23" customFormat="false" ht="15" hidden="false" customHeight="true" outlineLevel="0" collapsed="false">
      <c r="A23" s="18" t="s">
        <v>15</v>
      </c>
      <c r="B23" s="19"/>
      <c r="C23" s="10"/>
      <c r="D23" s="22"/>
      <c r="E23" s="22"/>
      <c r="F23" s="21" t="n">
        <f aca="false">ROUND(B23*D23*(C23^E23),0)</f>
        <v>0</v>
      </c>
    </row>
    <row r="24" customFormat="false" ht="15" hidden="false" customHeight="true" outlineLevel="0" collapsed="false">
      <c r="A24" s="18" t="s">
        <v>15</v>
      </c>
      <c r="B24" s="19"/>
      <c r="C24" s="10"/>
      <c r="D24" s="22"/>
      <c r="E24" s="22"/>
      <c r="F24" s="21" t="n">
        <f aca="false">ROUND(B24*D24*(C24^E24),0)</f>
        <v>0</v>
      </c>
    </row>
    <row r="25" customFormat="false" ht="15" hidden="false" customHeight="true" outlineLevel="0" collapsed="false">
      <c r="A25" s="18" t="s">
        <v>15</v>
      </c>
      <c r="B25" s="19"/>
      <c r="C25" s="10"/>
      <c r="D25" s="22"/>
      <c r="E25" s="22"/>
      <c r="F25" s="21" t="n">
        <f aca="false">ROUND(B25*D25*(C25^E25),0)</f>
        <v>0</v>
      </c>
    </row>
    <row r="26" customFormat="false" ht="15" hidden="false" customHeight="true" outlineLevel="0" collapsed="false">
      <c r="A26" s="18" t="s">
        <v>15</v>
      </c>
      <c r="B26" s="19"/>
      <c r="C26" s="10"/>
      <c r="D26" s="22"/>
      <c r="E26" s="22"/>
      <c r="F26" s="21" t="n">
        <f aca="false">ROUND(B26*D26*(C26^E26),0)</f>
        <v>0</v>
      </c>
    </row>
    <row r="27" customFormat="false" ht="15" hidden="false" customHeight="false" outlineLevel="0" collapsed="false">
      <c r="B27" s="24"/>
      <c r="C27" s="1"/>
      <c r="F27" s="2"/>
    </row>
    <row r="28" customFormat="false" ht="15" hidden="false" customHeight="true" outlineLevel="0" collapsed="false">
      <c r="A28" s="8" t="str">
        <f aca="false">"=== Condiciones del Agua ==="</f>
        <v>=== Condiciones del Agua ===</v>
      </c>
      <c r="B28" s="1"/>
      <c r="C28" s="1"/>
    </row>
    <row r="29" customFormat="false" ht="15" hidden="false" customHeight="true" outlineLevel="0" collapsed="false">
      <c r="A29" s="11" t="s">
        <v>16</v>
      </c>
      <c r="B29" s="10"/>
      <c r="C29" s="1"/>
      <c r="F29" s="25"/>
    </row>
    <row r="30" customFormat="false" ht="15" hidden="false" customHeight="true" outlineLevel="0" collapsed="false">
      <c r="A30" s="11" t="s">
        <v>17</v>
      </c>
      <c r="B30" s="10"/>
      <c r="C30" s="1"/>
      <c r="F30" s="11"/>
    </row>
    <row r="31" customFormat="false" ht="15" hidden="false" customHeight="true" outlineLevel="0" collapsed="false">
      <c r="A31" s="11" t="s">
        <v>18</v>
      </c>
      <c r="B31" s="19"/>
      <c r="C31" s="1"/>
      <c r="F31" s="25"/>
    </row>
    <row r="32" customFormat="false" ht="15" hidden="false" customHeight="true" outlineLevel="0" collapsed="false">
      <c r="A32" s="25" t="s">
        <v>19</v>
      </c>
      <c r="B32" s="26" t="s">
        <v>20</v>
      </c>
      <c r="C32" s="1"/>
    </row>
    <row r="33" customFormat="false" ht="15" hidden="false" customHeight="false" outlineLevel="0" collapsed="false">
      <c r="B33" s="1"/>
      <c r="C33" s="1"/>
    </row>
    <row r="34" customFormat="false" ht="15" hidden="false" customHeight="true" outlineLevel="0" collapsed="false">
      <c r="A34" s="8" t="str">
        <f aca="false">"=== Tipo de Filtro ==="</f>
        <v>=== Tipo de Filtro ===</v>
      </c>
      <c r="B34" s="1"/>
      <c r="C34" s="1"/>
    </row>
    <row r="35" customFormat="false" ht="15" hidden="false" customHeight="true" outlineLevel="0" collapsed="false">
      <c r="A35" s="11" t="s">
        <v>21</v>
      </c>
      <c r="B35" s="27" t="s">
        <v>22</v>
      </c>
      <c r="C35" s="1"/>
    </row>
    <row r="36" customFormat="false" ht="15" hidden="false" customHeight="true" outlineLevel="0" collapsed="false">
      <c r="A36" s="11" t="s">
        <v>23</v>
      </c>
      <c r="B36" s="27"/>
      <c r="C36" s="1"/>
      <c r="F36" s="2"/>
    </row>
    <row r="37" customFormat="false" ht="15" hidden="false" customHeight="true" outlineLevel="0" collapsed="false">
      <c r="A37" s="25" t="s">
        <v>24</v>
      </c>
      <c r="B37" s="28" t="s">
        <v>25</v>
      </c>
      <c r="C37" s="1"/>
    </row>
    <row r="38" customFormat="false" ht="15" hidden="false" customHeight="true" outlineLevel="0" collapsed="false">
      <c r="A38" s="8" t="str">
        <f aca="false">"=== Cálculos Automáticos ==="</f>
        <v>=== Cálculos Automáticos ===</v>
      </c>
      <c r="B38" s="1"/>
      <c r="C38" s="1"/>
    </row>
    <row r="39" customFormat="false" ht="15" hidden="false" customHeight="true" outlineLevel="0" collapsed="false">
      <c r="A39" s="29" t="s">
        <v>26</v>
      </c>
      <c r="B39" s="30" t="n">
        <f aca="false">(B6*B7*B8)/1000</f>
        <v>300</v>
      </c>
      <c r="C39" s="1"/>
    </row>
    <row r="40" customFormat="false" ht="15" hidden="false" customHeight="true" outlineLevel="0" collapsed="false">
      <c r="A40" s="29" t="s">
        <v>27</v>
      </c>
      <c r="B40" s="30" t="n">
        <f aca="false">((B6*B7*B10)/1000)+B11</f>
        <v>0</v>
      </c>
      <c r="C40" s="1"/>
    </row>
    <row r="41" customFormat="false" ht="15" hidden="false" customHeight="true" outlineLevel="0" collapsed="false">
      <c r="A41" s="29" t="s">
        <v>28</v>
      </c>
      <c r="B41" s="30" t="n">
        <f aca="false">B39-B40</f>
        <v>300</v>
      </c>
      <c r="C41" s="1"/>
    </row>
    <row r="42" customFormat="false" ht="15" hidden="false" customHeight="true" outlineLevel="0" collapsed="false">
      <c r="A42" s="29" t="s">
        <v>29</v>
      </c>
      <c r="B42" s="30" t="n">
        <f aca="false">SUM(F17:F26)</f>
        <v>0</v>
      </c>
      <c r="C42" s="1"/>
    </row>
    <row r="43" customFormat="false" ht="15" hidden="false" customHeight="true" outlineLevel="0" collapsed="false">
      <c r="A43" s="29" t="s">
        <v>30</v>
      </c>
      <c r="B43" s="30" t="n">
        <f aca="false">B42/B41</f>
        <v>0</v>
      </c>
      <c r="C43" s="1"/>
    </row>
    <row r="44" s="1" customFormat="true" ht="15" hidden="false" customHeight="true" outlineLevel="0" collapsed="false">
      <c r="A44" s="29" t="s">
        <v>31</v>
      </c>
      <c r="B44" s="31" t="n">
        <f aca="false">IF(B43=0,2, IF(B43&lt;1,2.7,IF(B43&lt;2,3.4,IF(B43&lt;3,4.1,IF(B43&lt;4,4.8,IF(B43&lt;5,5.5,IF(B43&lt;6,6.2,IF(B43&lt;7,6.9,7.5))))))))</f>
        <v>2</v>
      </c>
      <c r="E44" s="3"/>
      <c r="F44" s="32"/>
    </row>
    <row r="45" customFormat="false" ht="15" hidden="false" customHeight="true" outlineLevel="0" collapsed="false">
      <c r="A45" s="29" t="s">
        <v>32</v>
      </c>
      <c r="B45" s="30" t="n">
        <f aca="false">IF(B29&gt;27,(B29-27)*5,0)</f>
        <v>0</v>
      </c>
      <c r="C45" s="1"/>
      <c r="D45" s="25"/>
    </row>
    <row r="46" customFormat="false" ht="15" hidden="false" customHeight="true" outlineLevel="0" collapsed="false">
      <c r="A46" s="29" t="s">
        <v>33</v>
      </c>
      <c r="B46" s="30" t="n">
        <f aca="false">IF(B30&lt;6.5,30,0)</f>
        <v>30</v>
      </c>
      <c r="C46" s="1"/>
      <c r="D46" s="25"/>
    </row>
    <row r="47" customFormat="false" ht="15" hidden="false" customHeight="true" outlineLevel="0" collapsed="false">
      <c r="A47" s="29" t="s">
        <v>34</v>
      </c>
      <c r="B47" s="30" t="n">
        <f aca="false">IF(B31=1,0,(B31-1)*10)</f>
        <v>-10</v>
      </c>
      <c r="C47" s="1"/>
      <c r="D47" s="25"/>
    </row>
    <row r="48" customFormat="false" ht="15" hidden="false" customHeight="true" outlineLevel="0" collapsed="false">
      <c r="A48" s="33" t="s">
        <v>35</v>
      </c>
      <c r="B48" s="34" t="n">
        <f aca="false">IF(B32="Sin plantación",0,IF(B32="Plantación moderada",-15,-30))</f>
        <v>-15</v>
      </c>
      <c r="C48" s="1"/>
      <c r="D48" s="25"/>
    </row>
    <row r="49" customFormat="false" ht="15" hidden="false" customHeight="true" outlineLevel="0" collapsed="false">
      <c r="A49" s="29" t="s">
        <v>36</v>
      </c>
      <c r="B49" s="30" t="n">
        <f aca="false">(B36/30)*10</f>
        <v>0</v>
      </c>
      <c r="C49" s="1"/>
      <c r="D49" s="35"/>
    </row>
    <row r="50" customFormat="false" ht="15" hidden="false" customHeight="true" outlineLevel="0" collapsed="false">
      <c r="A50" s="29" t="s">
        <v>37</v>
      </c>
      <c r="B50" s="30" t="n">
        <f aca="false">IF(B35="Canister",15,IF(B35="Cascada",22,IF(B35="Sump",5,IF(B35="Interno",27,20))))</f>
        <v>15</v>
      </c>
      <c r="C50" s="1"/>
      <c r="D50" s="25"/>
    </row>
    <row r="51" customFormat="false" ht="15" hidden="false" customHeight="true" outlineLevel="0" collapsed="false">
      <c r="A51" s="29" t="s">
        <v>38</v>
      </c>
      <c r="B51" s="30" t="n">
        <f aca="false">B41*B44</f>
        <v>600</v>
      </c>
      <c r="C51" s="1"/>
      <c r="E51" s="36"/>
    </row>
    <row r="52" customFormat="false" ht="15" hidden="false" customHeight="true" outlineLevel="0" collapsed="false">
      <c r="A52" s="37" t="s">
        <v>39</v>
      </c>
      <c r="B52" s="38" t="n">
        <f aca="false">B51*(1+B45/100)*(1+B46/100)*(1+B47/100)*(1+B48/100)*(1+B49/100)*(1+B50/100)*IF(B37="Sin Corrección",1,IF(B37="Corrección Moderada",1.1,1.2))</f>
        <v>686.205</v>
      </c>
      <c r="C52" s="39"/>
      <c r="E52" s="36"/>
    </row>
    <row r="53" customFormat="false" ht="15" hidden="false" customHeight="true" outlineLevel="0" collapsed="false">
      <c r="A53" s="37" t="s">
        <v>40</v>
      </c>
      <c r="B53" s="38" t="n">
        <f aca="false">MIN(B52/B41, MIN(8, MAX(2, 2 + 4.5 * B43)))</f>
        <v>2</v>
      </c>
      <c r="C53" s="39"/>
      <c r="D53" s="40"/>
      <c r="E53" s="41"/>
      <c r="F53" s="42"/>
    </row>
    <row r="54" customFormat="false" ht="15" hidden="false" customHeight="false" outlineLevel="0" collapsed="false">
      <c r="A54" s="11"/>
      <c r="B54" s="43"/>
      <c r="C54" s="1"/>
    </row>
    <row r="55" customFormat="false" ht="15" hidden="false" customHeight="true" outlineLevel="0" collapsed="false">
      <c r="A55" s="8" t="str">
        <f aca="false">"=== Observaciones==="</f>
        <v>=== Observaciones===</v>
      </c>
      <c r="B55" s="1"/>
      <c r="C55" s="1"/>
    </row>
    <row r="56" customFormat="false" ht="15" hidden="false" customHeight="true" outlineLevel="0" collapsed="false">
      <c r="A56" s="44" t="str">
        <f aca="false">IF(B30&lt;6.5,"pH muy bajo: Nitrospiras en riesgo revisar KH/buffer y aumentar filtración biológica",IF(B29&lt;20,"Temperatura baja: ajustar si la especie lo requiere","Tasa de Rotación REAL adecuada"))</f>
        <v>pH muy bajo: Nitrospiras en riesgo revisar KH/buffer y aumentar filtración biológica</v>
      </c>
      <c r="B56" s="44"/>
      <c r="C56" s="44"/>
      <c r="D56" s="44"/>
      <c r="E56" s="44"/>
      <c r="F56" s="44"/>
    </row>
    <row r="57" customFormat="false" ht="15" hidden="false" customHeight="true" outlineLevel="0" collapsed="false">
      <c r="A57" s="45"/>
      <c r="B57" s="1"/>
      <c r="C57" s="1"/>
    </row>
    <row r="58" s="46" customFormat="true" ht="15" hidden="false" customHeight="true" outlineLevel="0" collapsed="false">
      <c r="A58" s="46" t="str">
        <f aca="false">" NOTA: Esta herramienta estima el flujo necesario, pero no reemplaza el monitoreo de amonio, nitritos y nitratos."</f>
        <v> NOTA: Esta herramienta estima el flujo necesario, pero no reemplaza el monitoreo de amonio, nitritos y nitratos.</v>
      </c>
    </row>
    <row r="59" s="39" customFormat="true" ht="15" hidden="false" customHeight="true" outlineLevel="0" collapsed="false">
      <c r="A59" s="39" t="s">
        <v>41</v>
      </c>
      <c r="D59" s="47"/>
      <c r="E59" s="47"/>
      <c r="G59" s="1"/>
    </row>
    <row r="60" s="46" customFormat="true" ht="15" hidden="false" customHeight="true" outlineLevel="0" collapsed="false">
      <c r="A60" s="46" t="s">
        <v>42</v>
      </c>
    </row>
    <row r="61" s="39" customFormat="true" ht="15" hidden="false" customHeight="true" outlineLevel="0" collapsed="false">
      <c r="A61" s="39" t="s">
        <v>43</v>
      </c>
      <c r="D61" s="47"/>
      <c r="E61" s="47"/>
      <c r="G61" s="1"/>
    </row>
    <row r="62" s="39" customFormat="true" ht="15" hidden="true" customHeight="true" outlineLevel="0" collapsed="false">
      <c r="D62" s="47"/>
      <c r="E62" s="47"/>
      <c r="G62" s="1"/>
    </row>
    <row r="63" s="39" customFormat="true" ht="15" hidden="true" customHeight="true" outlineLevel="0" collapsed="false">
      <c r="D63" s="47"/>
      <c r="E63" s="47"/>
      <c r="G63" s="1"/>
    </row>
    <row r="64" customFormat="false" ht="15" hidden="true" customHeight="true" outlineLevel="0" collapsed="false">
      <c r="B64" s="1"/>
      <c r="C64" s="1"/>
    </row>
    <row r="65" customFormat="false" ht="15" hidden="true" customHeight="true" outlineLevel="0" collapsed="false">
      <c r="B65" s="1"/>
      <c r="C65" s="1"/>
    </row>
    <row r="1048569" customFormat="false" ht="12.8" hidden="true" customHeight="true" outlineLevel="0" collapsed="false"/>
    <row r="1048570" customFormat="false" ht="12.8" hidden="true" customHeight="true" outlineLevel="0" collapsed="false"/>
    <row r="1048571" customFormat="false" ht="12.8" hidden="true" customHeight="true" outlineLevel="0" collapsed="false"/>
    <row r="1048572" customFormat="false" ht="12.8" hidden="true" customHeight="true" outlineLevel="0" collapsed="false"/>
    <row r="1048573" customFormat="false" ht="12.8" hidden="true" customHeight="true" outlineLevel="0" collapsed="false"/>
    <row r="1048574" customFormat="false" ht="12.8" hidden="true" customHeight="true" outlineLevel="0" collapsed="false"/>
    <row r="1048575" customFormat="false" ht="12.8" hidden="true" customHeight="true" outlineLevel="0" collapsed="false"/>
    <row r="1048576" customFormat="false" ht="12.8" hidden="true" customHeight="true" outlineLevel="0" collapsed="false"/>
  </sheetData>
  <sheetProtection sheet="true" password="80a1" objects="true" scenarios="true" selectLockedCells="true"/>
  <mergeCells count="5">
    <mergeCell ref="A1:F1"/>
    <mergeCell ref="A2:F2"/>
    <mergeCell ref="A56:F56"/>
    <mergeCell ref="58:58"/>
    <mergeCell ref="60:60"/>
  </mergeCells>
  <conditionalFormatting sqref="A56">
    <cfRule type="expression" priority="2" aboveAverage="0" equalAverage="0" bottom="0" percent="0" rank="0" text="" dxfId="0">
      <formula>IF(B30&lt;6.5,TRUE())</formula>
    </cfRule>
  </conditionalFormatting>
  <conditionalFormatting sqref="A56">
    <cfRule type="expression" priority="3" aboveAverage="0" equalAverage="0" bottom="0" percent="0" rank="0" text="" dxfId="1">
      <formula>IF(B29&lt;20,TRUE())</formula>
    </cfRule>
  </conditionalFormatting>
  <conditionalFormatting sqref="A56">
    <cfRule type="cellIs" priority="4" operator="equal" aboveAverage="0" equalAverage="0" bottom="0" percent="0" rank="0" text="" dxfId="2">
      <formula>"Tasa de Rotación REAL adecuada"</formula>
    </cfRule>
  </conditionalFormatting>
  <conditionalFormatting sqref="A56">
    <cfRule type="expression" priority="5" aboveAverage="0" equalAverage="0" bottom="0" percent="0" rank="0" text="" dxfId="0">
      <formula>IF(20*B42100&lt;B41,TRUE())</formula>
    </cfRule>
  </conditionalFormatting>
  <dataValidations count="3">
    <dataValidation allowBlank="false" errorStyle="stop" operator="equal" showDropDown="false" showErrorMessage="true" showInputMessage="false" sqref="B35" type="list">
      <formula1>"Interno,Cascada,Canister,Sump,"</formula1>
      <formula2>0</formula2>
    </dataValidation>
    <dataValidation allowBlank="true" errorStyle="stop" operator="equal" showDropDown="false" showErrorMessage="true" showInputMessage="false" sqref="B37" type="list">
      <formula1>",Sin Corrección,Corrección Moderada,Corrección Alta"</formula1>
      <formula2>0</formula2>
    </dataValidation>
    <dataValidation allowBlank="true" errorStyle="stop" operator="equal" showDropDown="false" showErrorMessage="true" showInputMessage="false" sqref="B32" type="list">
      <formula1>"Sin plantación,Plantación moderada,Plantación densa"</formula1>
      <formula2>0</formula2>
    </dataValidation>
  </dataValidations>
  <printOptions headings="false" gridLines="false" gridLinesSet="true" horizontalCentered="false" verticalCentered="false"/>
  <pageMargins left="0.752083333333333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11.53515625" defaultRowHeight="12.8" customHeight="true" zeroHeight="true" outlineLevelRow="0" outlineLevelCol="0"/>
  <cols>
    <col collapsed="false" customWidth="true" hidden="false" outlineLevel="0" max="1" min="1" style="1" width="13.13"/>
    <col collapsed="false" customWidth="true" hidden="false" outlineLevel="0" max="2" min="2" style="48" width="17.11"/>
    <col collapsed="false" customWidth="true" hidden="false" outlineLevel="0" max="3" min="3" style="1" width="13.35"/>
    <col collapsed="false" customWidth="false" hidden="false" outlineLevel="0" max="5" min="4" style="3" width="11.53"/>
    <col collapsed="false" customWidth="true" hidden="false" outlineLevel="0" max="6" min="6" style="1" width="60.71"/>
    <col collapsed="false" customWidth="false" hidden="true" outlineLevel="0" max="16384" min="7" style="1" width="11.53"/>
  </cols>
  <sheetData>
    <row r="1" s="1" customFormat="true" ht="12.8" hidden="false" customHeight="true" outlineLevel="0" collapsed="false">
      <c r="B1" s="49" t="s">
        <v>44</v>
      </c>
    </row>
    <row r="2" customFormat="false" ht="21.6" hidden="false" customHeight="true" outlineLevel="0" collapsed="false">
      <c r="B2" s="50" t="s">
        <v>45</v>
      </c>
    </row>
    <row r="3" customFormat="false" ht="35.05" hidden="false" customHeight="false" outlineLevel="0" collapsed="false">
      <c r="B3" s="15" t="s">
        <v>46</v>
      </c>
      <c r="C3" s="36" t="s">
        <v>47</v>
      </c>
      <c r="D3" s="36" t="s">
        <v>48</v>
      </c>
      <c r="E3" s="36" t="s">
        <v>49</v>
      </c>
      <c r="F3" s="17" t="s">
        <v>50</v>
      </c>
    </row>
    <row r="4" customFormat="false" ht="64.15" hidden="false" customHeight="true" outlineLevel="0" collapsed="false">
      <c r="B4" s="51" t="s">
        <v>51</v>
      </c>
      <c r="C4" s="52" t="s">
        <v>52</v>
      </c>
      <c r="D4" s="17" t="n">
        <v>0.00075</v>
      </c>
      <c r="E4" s="17" t="n">
        <v>2.68</v>
      </c>
      <c r="F4" s="53" t="s">
        <v>53</v>
      </c>
    </row>
    <row r="5" customFormat="false" ht="73.85" hidden="false" customHeight="true" outlineLevel="0" collapsed="false">
      <c r="B5" s="51" t="s">
        <v>54</v>
      </c>
      <c r="C5" s="52" t="s">
        <v>55</v>
      </c>
      <c r="D5" s="17" t="n">
        <v>0.007</v>
      </c>
      <c r="E5" s="17" t="n">
        <v>2.9</v>
      </c>
      <c r="F5" s="53" t="s">
        <v>56</v>
      </c>
    </row>
    <row r="6" customFormat="false" ht="84.3" hidden="false" customHeight="true" outlineLevel="0" collapsed="false">
      <c r="B6" s="51" t="s">
        <v>57</v>
      </c>
      <c r="C6" s="52" t="s">
        <v>58</v>
      </c>
      <c r="D6" s="17" t="n">
        <v>0.012</v>
      </c>
      <c r="E6" s="17" t="n">
        <v>3.05</v>
      </c>
      <c r="F6" s="53" t="s">
        <v>59</v>
      </c>
    </row>
    <row r="7" customFormat="false" ht="61.9" hidden="false" customHeight="true" outlineLevel="0" collapsed="false">
      <c r="B7" s="51" t="s">
        <v>60</v>
      </c>
      <c r="C7" s="52" t="s">
        <v>61</v>
      </c>
      <c r="D7" s="17" t="n">
        <v>0.0225</v>
      </c>
      <c r="E7" s="17" t="n">
        <v>3.2</v>
      </c>
      <c r="F7" s="53" t="s">
        <v>62</v>
      </c>
    </row>
    <row r="8" customFormat="false" ht="49.95" hidden="false" customHeight="true" outlineLevel="0" collapsed="false">
      <c r="B8" s="51" t="s">
        <v>63</v>
      </c>
      <c r="C8" s="52" t="s">
        <v>64</v>
      </c>
      <c r="D8" s="36" t="n">
        <v>0.04</v>
      </c>
      <c r="E8" s="36" t="n">
        <v>3.5</v>
      </c>
      <c r="F8" s="53" t="s">
        <v>65</v>
      </c>
    </row>
    <row r="9" customFormat="false" ht="52.2" hidden="false" customHeight="false" outlineLevel="0" collapsed="false">
      <c r="B9" s="51" t="s">
        <v>66</v>
      </c>
      <c r="C9" s="52" t="s">
        <v>67</v>
      </c>
      <c r="D9" s="17" t="n">
        <v>0.03</v>
      </c>
      <c r="E9" s="17" t="n">
        <v>3.3</v>
      </c>
      <c r="F9" s="54" t="s">
        <v>68</v>
      </c>
    </row>
    <row r="1048576" customFormat="false" ht="12.8" hidden="false" customHeight="true" outlineLevel="0" collapsed="false"/>
  </sheetData>
  <sheetProtection sheet="true" password="80a1" objects="true" scenarios="true" selectLockedCells="true" selectUnlockedCells="true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1" width="18.49"/>
  </cols>
  <sheetData>
    <row r="1" customFormat="false" ht="15" hidden="false" customHeight="true" outlineLevel="0" collapsed="false">
      <c r="A1" s="11" t="s">
        <v>69</v>
      </c>
      <c r="B1" s="11" t="s">
        <v>70</v>
      </c>
      <c r="C1" s="11"/>
    </row>
    <row r="2" customFormat="false" ht="15" hidden="false" customHeight="true" outlineLevel="0" collapsed="false">
      <c r="A2" s="11" t="s">
        <v>28</v>
      </c>
      <c r="D2" s="55" t="n">
        <f aca="false">Calculador_filtro!$B$41</f>
        <v>300</v>
      </c>
    </row>
    <row r="3" customFormat="false" ht="15" hidden="false" customHeight="true" outlineLevel="0" collapsed="false">
      <c r="A3" s="11" t="s">
        <v>71</v>
      </c>
      <c r="D3" s="30" t="n">
        <f aca="false">Calculador_filtro!$B$51</f>
        <v>600</v>
      </c>
    </row>
    <row r="4" customFormat="false" ht="15" hidden="false" customHeight="true" outlineLevel="0" collapsed="false">
      <c r="A4" s="11" t="s">
        <v>72</v>
      </c>
      <c r="D4" s="56" t="n">
        <f aca="false">Calculador_filtro!$B$52</f>
        <v>686.205</v>
      </c>
    </row>
    <row r="5" customFormat="false" ht="15" hidden="false" customHeight="true" outlineLevel="0" collapsed="false">
      <c r="A5" s="11" t="s">
        <v>73</v>
      </c>
      <c r="D5" s="57" t="n">
        <f aca="false">Calculador_filtro!$B$53</f>
        <v>2</v>
      </c>
    </row>
  </sheetData>
  <sheetProtection sheet="true" password="80a1" objects="true" scenarios="true" selectLockedCells="true" selectUnlockedCells="tru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1397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2025-10-31T01:44:33Z</dcterms:created>
  <dc:creator>openpyxl</dc:creator>
  <dc:description/>
  <dc:language>es-VE</dc:language>
  <cp:lastModifiedBy/>
  <dcterms:modified xsi:type="dcterms:W3CDTF">2025-11-10T09:07:28Z</dcterms:modified>
  <cp:revision>98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