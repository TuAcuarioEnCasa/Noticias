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definedNames>
    <definedName function="false" hidden="false" localSheetId="0" name="_xlnm.Print_Area" vbProcedure="false">Hoja2!$A:$E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<sst xmlns="http://schemas.openxmlformats.org/spreadsheetml/2006/main" count="24" uniqueCount="17">
  <si>
    <t xml:space="preserve">OBSERVACIONES:</t>
  </si>
  <si>
    <t xml:space="preserve">                         CALCULO DE MEZCLA DE AGUA Y OSMOSIS</t>
  </si>
  <si>
    <t xml:space="preserve">                           (RELLENAR SOLO LOS VALORES EN LA CELDAS NARANJAS)</t>
  </si>
  <si>
    <t xml:space="preserve">TDS DESEADO</t>
  </si>
  <si>
    <t xml:space="preserve">ppm</t>
  </si>
  <si>
    <t xml:space="preserve">LITROS DEL ACUARIO</t>
  </si>
  <si>
    <t xml:space="preserve">Lts</t>
  </si>
  <si>
    <t xml:space="preserve">PORCENTAJE A CAMBIAR</t>
  </si>
  <si>
    <t xml:space="preserve">%</t>
  </si>
  <si>
    <t xml:space="preserve">TDS DEL ACUARIO</t>
  </si>
  <si>
    <t xml:space="preserve">TDS DEL AGUA DE OSMOSIS/MINERAL</t>
  </si>
  <si>
    <t xml:space="preserve">TDS DEL AGUA DE RED</t>
  </si>
  <si>
    <t xml:space="preserve">                               RESULTADOS</t>
  </si>
  <si>
    <t xml:space="preserve">LITROS A CAMBIAR</t>
  </si>
  <si>
    <t xml:space="preserve">LITROS DEL AGUA DE OSMOSIS/MINERAL</t>
  </si>
  <si>
    <t xml:space="preserve">LITROS DEL AGUA DE RED</t>
  </si>
  <si>
    <t xml:space="preserve">TDS DE LA MEZCLA (agua osmosis y red)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</si>
</sst>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Bradley Hand ITC"/>
      <family val="4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2"/>
      <color rgb="FF7030A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4BACC6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2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top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tru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1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4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5" fontId="13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3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0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1486080</xdr:colOff>
      <xdr:row>0</xdr:row>
      <xdr:rowOff>0</xdr:rowOff>
    </xdr:from>
    <xdr:to>
      <xdr:col>1</xdr:col>
      <xdr:colOff>3113280</xdr:colOff>
      <xdr:row>1</xdr:row>
      <xdr:rowOff>100080</xdr:rowOff>
    </xdr:to>
    <xdr:pic>
      <xdr:nvPicPr>
        <xdr:cNvPr id="1" name="9 Imagen" descr=""/>
        <xdr:cNvPicPr/>
      </xdr:nvPicPr>
      <xdr:blipFill>
        <a:blip r:embed="rId1"/>
        <a:stretch/>
      </xdr:blipFill>
      <xdr:spPr>
        <a:xfrm>
          <a:off x="2684160" y="0"/>
          <a:ext cx="1627200" cy="14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43359375" defaultRowHeight="15" customHeight="true" zeroHeight="tru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50"/>
    <col collapsed="false" customWidth="true" hidden="false" outlineLevel="0" max="3" min="3" style="1" width="18.86"/>
    <col collapsed="false" customWidth="true" hidden="false" outlineLevel="0" max="4" min="4" style="2" width="8.29"/>
    <col collapsed="false" customWidth="true" hidden="false" outlineLevel="0" max="5" min="5" style="1" width="47.42"/>
    <col collapsed="false" customWidth="true" hidden="true" outlineLevel="0" max="6" min="6" style="1" width="11.53"/>
    <col collapsed="false" customWidth="false" hidden="true" outlineLevel="0" max="16384" min="7" style="1" width="11.43"/>
  </cols>
  <sheetData>
    <row r="1" customFormat="false" ht="109.5" hidden="false" customHeight="true" outlineLevel="0" collapsed="false">
      <c r="A1" s="3"/>
      <c r="B1" s="4"/>
      <c r="C1" s="5"/>
      <c r="D1" s="6"/>
      <c r="E1" s="7" t="s">
        <v>0</v>
      </c>
    </row>
    <row r="2" customFormat="false" ht="25.5" hidden="false" customHeight="true" outlineLevel="0" collapsed="false">
      <c r="A2" s="8"/>
      <c r="B2" s="9" t="s">
        <v>1</v>
      </c>
      <c r="C2" s="10"/>
      <c r="D2" s="10"/>
      <c r="E2" s="11" t="str">
        <f aca="false">IF((C6*C5-(C6-C12)*C8-(C12*C10))/(C9-C10)&lt;0,"DEMASIADOS TDS DE AGUA DE OSMOSIS/MINERAL "," ")</f>
        <v> </v>
      </c>
    </row>
    <row r="3" customFormat="false" ht="19.5" hidden="false" customHeight="true" outlineLevel="0" collapsed="false">
      <c r="A3" s="8"/>
      <c r="B3" s="12" t="s">
        <v>2</v>
      </c>
      <c r="C3" s="10"/>
      <c r="D3" s="10"/>
      <c r="E3" s="13" t="str">
        <f aca="false">IF(C14&lt;0,"TDS DESEADOS INSUFICIENTES"," ")</f>
        <v> </v>
      </c>
    </row>
    <row r="4" customFormat="false" ht="19.5" hidden="false" customHeight="true" outlineLevel="0" collapsed="false">
      <c r="A4" s="8"/>
      <c r="B4" s="9"/>
      <c r="C4" s="10"/>
      <c r="D4" s="10"/>
      <c r="E4" s="13" t="str">
        <f aca="false">IF(C15&gt;C5,"LITROS A CAMBIAR O TDS, INCORRECTOS"," ")</f>
        <v> </v>
      </c>
    </row>
    <row r="5" customFormat="false" ht="17.35" hidden="false" customHeight="false" outlineLevel="0" collapsed="false">
      <c r="A5" s="8"/>
      <c r="B5" s="14" t="s">
        <v>3</v>
      </c>
      <c r="C5" s="15" t="n">
        <v>150</v>
      </c>
      <c r="D5" s="16" t="s">
        <v>4</v>
      </c>
      <c r="E5" s="13" t="str">
        <f aca="false">IF(C15&lt;0,"TDS DE LA MEZCLA INVALIDOS"," ")</f>
        <v> </v>
      </c>
    </row>
    <row r="6" customFormat="false" ht="17.35" hidden="false" customHeight="false" outlineLevel="0" collapsed="false">
      <c r="A6" s="8"/>
      <c r="B6" s="17" t="s">
        <v>5</v>
      </c>
      <c r="C6" s="18" t="n">
        <v>70</v>
      </c>
      <c r="D6" s="16" t="s">
        <v>6</v>
      </c>
      <c r="E6" s="19" t="str">
        <f aca="false">IF( C7&gt;100,"PORCENTAJE DE AGUA A CAMBIAR INCORRECTO"," ")</f>
        <v> </v>
      </c>
    </row>
    <row r="7" customFormat="false" ht="17.35" hidden="false" customHeight="false" outlineLevel="0" collapsed="false">
      <c r="A7" s="8"/>
      <c r="B7" s="17" t="s">
        <v>7</v>
      </c>
      <c r="C7" s="18" t="n">
        <v>20</v>
      </c>
      <c r="D7" s="16" t="s">
        <v>8</v>
      </c>
      <c r="E7" s="13" t="str">
        <f aca="false">IF( AND((E2=" "),(E3=" "),( E4=" "), (E5=" "), (E6=" "))," ","CALCULO INCORRECTO")</f>
        <v> </v>
      </c>
    </row>
    <row r="8" customFormat="false" ht="17.35" hidden="false" customHeight="false" outlineLevel="0" collapsed="false">
      <c r="A8" s="8"/>
      <c r="B8" s="17" t="s">
        <v>9</v>
      </c>
      <c r="C8" s="18" t="n">
        <v>155</v>
      </c>
      <c r="D8" s="16" t="s">
        <v>4</v>
      </c>
      <c r="E8" s="13" t="str">
        <f aca="false">IF(E7&lt;&gt;" ","VERIFICAR DATOS DE ENTRADA"," ")</f>
        <v> </v>
      </c>
    </row>
    <row r="9" customFormat="false" ht="17.35" hidden="false" customHeight="false" outlineLevel="0" collapsed="false">
      <c r="A9" s="8"/>
      <c r="B9" s="17" t="s">
        <v>10</v>
      </c>
      <c r="C9" s="18"/>
      <c r="D9" s="16" t="s">
        <v>4</v>
      </c>
      <c r="E9" s="13" t="str">
        <f aca="false">IF(C15&lt;0,"TDS DESEADOS INCORRECTOS"," ")</f>
        <v> </v>
      </c>
    </row>
    <row r="10" customFormat="false" ht="17.35" hidden="false" customHeight="false" outlineLevel="0" collapsed="false">
      <c r="A10" s="8"/>
      <c r="B10" s="20" t="s">
        <v>11</v>
      </c>
      <c r="C10" s="18" t="n">
        <v>135</v>
      </c>
      <c r="D10" s="16" t="s">
        <v>4</v>
      </c>
      <c r="E10" s="19" t="str">
        <f aca="false">IF((C13&gt;C12),"LITROS DE AGUA DE OSMOSIS INCORRECTOS", " ")</f>
        <v> </v>
      </c>
    </row>
    <row r="11" customFormat="false" ht="39.75" hidden="false" customHeight="true" outlineLevel="0" collapsed="false">
      <c r="A11" s="8"/>
      <c r="B11" s="21" t="s">
        <v>12</v>
      </c>
      <c r="C11" s="22"/>
      <c r="D11" s="16"/>
      <c r="E11" s="23"/>
    </row>
    <row r="12" customFormat="false" ht="17.35" hidden="false" customHeight="false" outlineLevel="0" collapsed="false">
      <c r="A12" s="8"/>
      <c r="B12" s="14" t="s">
        <v>13</v>
      </c>
      <c r="C12" s="24" t="n">
        <f aca="false">(C6*C7)/100</f>
        <v>14</v>
      </c>
      <c r="D12" s="16" t="s">
        <v>6</v>
      </c>
      <c r="E12" s="23"/>
    </row>
    <row r="13" customFormat="false" ht="17.35" hidden="false" customHeight="false" outlineLevel="0" collapsed="false">
      <c r="A13" s="8"/>
      <c r="B13" s="17" t="s">
        <v>14</v>
      </c>
      <c r="C13" s="25" t="n">
        <f aca="false">(C6*C5-(C6-C12)*C8-(C12*C10))/(C9-C10)</f>
        <v>0.518518518518519</v>
      </c>
      <c r="D13" s="16" t="s">
        <v>6</v>
      </c>
      <c r="E13" s="26"/>
    </row>
    <row r="14" customFormat="false" ht="17.35" hidden="false" customHeight="false" outlineLevel="0" collapsed="false">
      <c r="A14" s="8"/>
      <c r="B14" s="17" t="s">
        <v>15</v>
      </c>
      <c r="C14" s="27" t="n">
        <f aca="false">(C12-C13)</f>
        <v>13.4814814814815</v>
      </c>
      <c r="D14" s="16" t="s">
        <v>6</v>
      </c>
      <c r="E14" s="26"/>
    </row>
    <row r="15" customFormat="false" ht="17.35" hidden="false" customHeight="false" outlineLevel="0" collapsed="false">
      <c r="A15" s="8"/>
      <c r="B15" s="20" t="s">
        <v>16</v>
      </c>
      <c r="C15" s="28" t="n">
        <f aca="false">(C13*C9+C14*C10)/(C13+C14)</f>
        <v>130</v>
      </c>
      <c r="D15" s="16" t="s">
        <v>4</v>
      </c>
      <c r="E15" s="26"/>
    </row>
    <row r="16" s="34" customFormat="true" ht="64.5" hidden="false" customHeight="true" outlineLevel="0" collapsed="false">
      <c r="A16" s="29"/>
      <c r="B16" s="30"/>
      <c r="C16" s="31"/>
      <c r="D16" s="32"/>
      <c r="E16" s="33"/>
    </row>
    <row r="17" customFormat="false" ht="15.75" hidden="true" customHeight="false" outlineLevel="0" collapsed="false"/>
  </sheetData>
  <sheetProtection sheet="true" password="80a1" objects="true" scenarios="true" selectLockedCells="true"/>
  <conditionalFormatting sqref="C13">
    <cfRule type="cellIs" priority="2" operator="greaterThan" aboveAverage="0" equalAverage="0" bottom="0" percent="0" rank="0" text="" dxfId="0">
      <formula>"c12&gt;c12"</formula>
    </cfRule>
    <cfRule type="cellIs" priority="3" operator="greaterThan" aboveAverage="0" equalAverage="0" bottom="0" percent="0" rank="0" text="" dxfId="1">
      <formula>C12</formula>
    </cfRule>
  </conditionalFormatting>
  <conditionalFormatting sqref="E5">
    <cfRule type="cellIs" priority="4" operator="less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E2">
    <cfRule type="cellIs" priority="6" operator="lessThan" aboveAverage="0" equalAverage="0" bottom="0" percent="0" rank="0" text="" dxfId="4">
      <formula>0</formula>
    </cfRule>
    <cfRule type="cellIs" priority="7" operator="lessThan" aboveAverage="0" equalAverage="0" bottom="0" percent="0" rank="0" text="" dxfId="5">
      <formula>0</formula>
    </cfRule>
    <cfRule type="cellIs" priority="8" operator="lessThan" aboveAverage="0" equalAverage="0" bottom="0" percent="0" rank="0" text="" dxfId="6">
      <formula>0</formula>
    </cfRule>
  </conditionalFormatting>
  <conditionalFormatting sqref="C12:C15">
    <cfRule type="cellIs" priority="9" operator="lessThan" aboveAverage="0" equalAverage="0" bottom="0" percent="0" rank="0" text="" dxfId="7">
      <formula>0</formula>
    </cfRule>
  </conditionalFormatting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2024-04-21T22:17:30Z</dcterms:created>
  <dc:creator>Roger Rodriguez del Villar</dc:creator>
  <dc:description/>
  <dc:language>es-VE</dc:language>
  <cp:lastModifiedBy/>
  <cp:lastPrinted>2024-04-22T22:38:02Z</cp:lastPrinted>
  <dcterms:modified xsi:type="dcterms:W3CDTF">2025-11-20T18:53:21Z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