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culadora Volumen" sheetId="1" state="visible" r:id="rId3"/>
    <sheet name="BaseDatosEspeciesAmpliada" sheetId="2" state="visible" r:id="rId4"/>
    <sheet name="FactorSeguridad" sheetId="3" state="hidden" r:id="rId5"/>
    <sheet name="Filtración" sheetId="4" state="hidden" r:id="rId6"/>
    <sheet name="SistemaPlantado" sheetId="5" state="hidden" r:id="rId7"/>
    <sheet name="Instrucciones" sheetId="6" state="visible" r:id="rId8"/>
  </sheets>
  <definedNames>
    <definedName function="false" hidden="true" localSheetId="0" name="_xlnm._FilterDatabase" vbProcedure="false">'Calculadora Volumen'!$H$1:$H$11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E1" authorId="0">
      <text>
        <r>
          <rPr>
            <sz val="10"/>
            <rFont val="Arial"/>
            <family val="2"/>
          </rPr>
          <t xml:space="preserve">Este valor permite agregar un margen de seguridad según la experiencia en el mantenimiento de acuarios.
Usa 1,5 si estas comenzando
1,3 si posees cierta experiencia en el hobby 
1,2 si te consideras avanzado
1,1 si eres experto</t>
        </r>
      </text>
    </comment>
  </commentList>
</comments>
</file>

<file path=xl/sharedStrings.xml><?xml version="1.0" encoding="utf-8"?>
<sst xmlns="http://schemas.openxmlformats.org/spreadsheetml/2006/main" count="183" uniqueCount="157">
  <si>
    <t xml:space="preserve">Tipo de Especie</t>
  </si>
  <si>
    <t xml:space="preserve">Número de Peces</t>
  </si>
  <si>
    <t xml:space="preserve">Tamaño Promedio Adulto (cm)</t>
  </si>
  <si>
    <t xml:space="preserve">Factor de Especie (Fe)</t>
  </si>
  <si>
    <t xml:space="preserve">Factor de Seguridad (Fs)</t>
  </si>
  <si>
    <t xml:space="preserve">Tipo de Filtración</t>
  </si>
  <si>
    <t xml:space="preserve">¿Acuario Plantado?</t>
  </si>
  <si>
    <t xml:space="preserve">Volumen (Litros) </t>
  </si>
  <si>
    <t xml:space="preserve"> </t>
  </si>
  <si>
    <t xml:space="preserve">Vol. Mínimo Neto  Recomendado:</t>
  </si>
  <si>
    <t xml:space="preserve">Especie / Grupo</t>
  </si>
  <si>
    <t xml:space="preserve">Ejemplos más comunes</t>
  </si>
  <si>
    <t xml:space="preserve">Nombre científico principal</t>
  </si>
  <si>
    <t xml:space="preserve">Tipo acuario</t>
  </si>
  <si>
    <t xml:space="preserve">Tamaño Adulto (cm)</t>
  </si>
  <si>
    <t xml:space="preserve">Factor Especie</t>
  </si>
  <si>
    <t xml:space="preserve">Temperatura Ideal (°C)</t>
  </si>
  <si>
    <t xml:space="preserve">Notas</t>
  </si>
  <si>
    <t xml:space="preserve">Tetras pequeños</t>
  </si>
  <si>
    <t xml:space="preserve">Neón, cardenal, ember</t>
  </si>
  <si>
    <t xml:space="preserve">Paracheirodon sp., Hyphessobrycon sp.</t>
  </si>
  <si>
    <t xml:space="preserve">Comunitario</t>
  </si>
  <si>
    <t xml:space="preserve">3-5</t>
  </si>
  <si>
    <t xml:space="preserve">22-26</t>
  </si>
  <si>
    <t xml:space="preserve">Mínimo 6 peces</t>
  </si>
  <si>
    <t xml:space="preserve">Rasboras</t>
  </si>
  <si>
    <t xml:space="preserve">Arlequín, espei, galaxy</t>
  </si>
  <si>
    <t xml:space="preserve">Trigonostigma, Danio margaritatus</t>
  </si>
  <si>
    <t xml:space="preserve">2-4</t>
  </si>
  <si>
    <t xml:space="preserve">Escuela pequeña</t>
  </si>
  <si>
    <t xml:space="preserve">Danios/barbos pequeños</t>
  </si>
  <si>
    <t xml:space="preserve">Danio zebra, barbo cereza</t>
  </si>
  <si>
    <t xml:space="preserve">Danio rerio, Puntius titteya</t>
  </si>
  <si>
    <t xml:space="preserve">20-26</t>
  </si>
  <si>
    <t xml:space="preserve">Activos y resistentes</t>
  </si>
  <si>
    <t xml:space="preserve">Guppys</t>
  </si>
  <si>
    <t xml:space="preserve">Guppy común, Endler</t>
  </si>
  <si>
    <t xml:space="preserve">Poecilia reticulata</t>
  </si>
  <si>
    <t xml:space="preserve">4-6</t>
  </si>
  <si>
    <t xml:space="preserve">23-27</t>
  </si>
  <si>
    <t xml:space="preserve">Fáciles, vivíparos</t>
  </si>
  <si>
    <t xml:space="preserve">Mollies/platys/espadas</t>
  </si>
  <si>
    <t xml:space="preserve">Molly negro, platy, espada</t>
  </si>
  <si>
    <t xml:space="preserve">Poecilia sphenops, Xiphophorus sp.</t>
  </si>
  <si>
    <t xml:space="preserve">6-10</t>
  </si>
  <si>
    <t xml:space="preserve">22-27</t>
  </si>
  <si>
    <t xml:space="preserve">Agua ligeramente alcalina; vivíparos</t>
  </si>
  <si>
    <t xml:space="preserve">Betta</t>
  </si>
  <si>
    <t xml:space="preserve">Betta macho/femenina</t>
  </si>
  <si>
    <t xml:space="preserve">Betta splendens</t>
  </si>
  <si>
    <t xml:space="preserve">Específico</t>
  </si>
  <si>
    <t xml:space="preserve">6-7</t>
  </si>
  <si>
    <t xml:space="preserve">25-28</t>
  </si>
  <si>
    <t xml:space="preserve">Solitario/agresivo</t>
  </si>
  <si>
    <t xml:space="preserve">Gourami y colisas</t>
  </si>
  <si>
    <t xml:space="preserve">Gourami enano, perlado</t>
  </si>
  <si>
    <t xml:space="preserve">Trichogaster, Colisa lalia</t>
  </si>
  <si>
    <t xml:space="preserve">7-12</t>
  </si>
  <si>
    <t xml:space="preserve">24-28</t>
  </si>
  <si>
    <t xml:space="preserve">Evitar con peces rápidos</t>
  </si>
  <si>
    <t xml:space="preserve">Corydoras</t>
  </si>
  <si>
    <t xml:space="preserve">C. pimienta, panda, sterbai</t>
  </si>
  <si>
    <t xml:space="preserve">Corydoras sp.</t>
  </si>
  <si>
    <t xml:space="preserve">Fondo comunitario</t>
  </si>
  <si>
    <t xml:space="preserve">5-7</t>
  </si>
  <si>
    <t xml:space="preserve">Mínimo 6, pacíficos</t>
  </si>
  <si>
    <t xml:space="preserve">Ancistrus</t>
  </si>
  <si>
    <t xml:space="preserve">Ancistrus común, "pleco pequeño"</t>
  </si>
  <si>
    <t xml:space="preserve">Ancistrus sp.</t>
  </si>
  <si>
    <t xml:space="preserve">10-13</t>
  </si>
  <si>
    <t xml:space="preserve">Requiere troncos y refugio</t>
  </si>
  <si>
    <t xml:space="preserve">Otocinclus</t>
  </si>
  <si>
    <t xml:space="preserve">Otocinclus aff.</t>
  </si>
  <si>
    <t xml:space="preserve">Otocinclus affinis et al.</t>
  </si>
  <si>
    <t xml:space="preserve">4-5</t>
  </si>
  <si>
    <t xml:space="preserve">Delicado, ciclado estable</t>
  </si>
  <si>
    <t xml:space="preserve">Plecostomus (grandes)</t>
  </si>
  <si>
    <t xml:space="preserve">Pleco común, panaque</t>
  </si>
  <si>
    <t xml:space="preserve">Hypostomus, Panaque, Glyptoperichthys</t>
  </si>
  <si>
    <t xml:space="preserve">Fondo especial</t>
  </si>
  <si>
    <t xml:space="preserve">20-40</t>
  </si>
  <si>
    <t xml:space="preserve">22-28</t>
  </si>
  <si>
    <t xml:space="preserve">Solo acuarios grandes</t>
  </si>
  <si>
    <t xml:space="preserve">Escalar (Angelfish)</t>
  </si>
  <si>
    <t xml:space="preserve">Escalar</t>
  </si>
  <si>
    <t xml:space="preserve">Pterophyllum scalare</t>
  </si>
  <si>
    <t xml:space="preserve">Com. grande</t>
  </si>
  <si>
    <t xml:space="preserve">Mejor en grupos</t>
  </si>
  <si>
    <t xml:space="preserve">Ramirezi/Apistogramma</t>
  </si>
  <si>
    <t xml:space="preserve">Ramirezi, cacatúa, agassizi</t>
  </si>
  <si>
    <t xml:space="preserve">Mikrogeophagus, Apistogramma</t>
  </si>
  <si>
    <t xml:space="preserve">6-8</t>
  </si>
  <si>
    <t xml:space="preserve">Delicados</t>
  </si>
  <si>
    <t xml:space="preserve">Cíclidos africanos</t>
  </si>
  <si>
    <t xml:space="preserve">Mbunas, Aulonocaras</t>
  </si>
  <si>
    <t xml:space="preserve">Pseudotropheus, Aulonocara</t>
  </si>
  <si>
    <t xml:space="preserve">Cíclidos</t>
  </si>
  <si>
    <t xml:space="preserve">12-18</t>
  </si>
  <si>
    <t xml:space="preserve">Agua dura, específico</t>
  </si>
  <si>
    <t xml:space="preserve">Goldfish (Carassius)</t>
  </si>
  <si>
    <t xml:space="preserve">Goldfish común, oranda, telescopio</t>
  </si>
  <si>
    <t xml:space="preserve">Carassius auratus</t>
  </si>
  <si>
    <t xml:space="preserve">Agua fría, específ</t>
  </si>
  <si>
    <t xml:space="preserve">25-30</t>
  </si>
  <si>
    <t xml:space="preserve">18-22</t>
  </si>
  <si>
    <t xml:space="preserve">Mucho volumen y filtración</t>
  </si>
  <si>
    <t xml:space="preserve">Disco</t>
  </si>
  <si>
    <t xml:space="preserve">Symphysodon aequifasciatus</t>
  </si>
  <si>
    <t xml:space="preserve">Com. avanzadas</t>
  </si>
  <si>
    <t xml:space="preserve">27-30</t>
  </si>
  <si>
    <t xml:space="preserve">Blando, ácido, exigente</t>
  </si>
  <si>
    <t xml:space="preserve">Arowana/peces grandes</t>
  </si>
  <si>
    <t xml:space="preserve">Arowana, oscar, channa</t>
  </si>
  <si>
    <t xml:space="preserve">Osteoglossum, Astronotus, Channa sp.</t>
  </si>
  <si>
    <t xml:space="preserve">Específicos</t>
  </si>
  <si>
    <t xml:space="preserve">40-100</t>
  </si>
  <si>
    <t xml:space="preserve">Solo acuarios extensos</t>
  </si>
  <si>
    <t xml:space="preserve">Peces marinos (payaso, damisela)</t>
  </si>
  <si>
    <t xml:space="preserve">Payaso, damisela</t>
  </si>
  <si>
    <t xml:space="preserve">Amphiprion, Chrysiptera</t>
  </si>
  <si>
    <t xml:space="preserve">Marino arrecife</t>
  </si>
  <si>
    <t xml:space="preserve">24-27</t>
  </si>
  <si>
    <t xml:space="preserve">Resistentes</t>
  </si>
  <si>
    <t xml:space="preserve">Peces marinos grandes (cirujano)</t>
  </si>
  <si>
    <t xml:space="preserve">Cirujano azul, cirujano amarillo</t>
  </si>
  <si>
    <t xml:space="preserve">Paracanthurus, Zebrasoma</t>
  </si>
  <si>
    <t xml:space="preserve">Marino avanzado</t>
  </si>
  <si>
    <t xml:space="preserve">18-25</t>
  </si>
  <si>
    <t xml:space="preserve">Nivel de experiencia</t>
  </si>
  <si>
    <t xml:space="preserve">Factor</t>
  </si>
  <si>
    <t xml:space="preserve">Principiante</t>
  </si>
  <si>
    <t xml:space="preserve">Intermedio</t>
  </si>
  <si>
    <t xml:space="preserve">Avanzado</t>
  </si>
  <si>
    <t xml:space="preserve">Experto</t>
  </si>
  <si>
    <t xml:space="preserve">Básica</t>
  </si>
  <si>
    <t xml:space="preserve">Estándar</t>
  </si>
  <si>
    <t xml:space="preserve">Avanzada</t>
  </si>
  <si>
    <t xml:space="preserve">Profesional</t>
  </si>
  <si>
    <t xml:space="preserve">Sin plantas: 1.0</t>
  </si>
  <si>
    <t xml:space="preserve">Ligeramente plantado</t>
  </si>
  <si>
    <t xml:space="preserve">Moderadamente plantado</t>
  </si>
  <si>
    <t xml:space="preserve">Densamente plantado</t>
  </si>
  <si>
    <t xml:space="preserve">Estilo holandés/natural</t>
  </si>
  <si>
    <t xml:space="preserve">CALCULADORA DE VOLUMEN DE ACUARIO</t>
  </si>
  <si>
    <t xml:space="preserve">1. Introducción</t>
  </si>
  <si>
    <t xml:space="preserve">   - Esta calculadora te ayuda a determinar el volumen mínimo recomendado para tu acuario según especie, cantidad de peces, filtración, experiencia y nivel de plantado.</t>
  </si>
  <si>
    <t xml:space="preserve">2. Instrucciones de Uso</t>
  </si>
  <si>
    <t xml:space="preserve">   - Ingresa datos en la hoja "Calculadora Volumen".</t>
  </si>
  <si>
    <t xml:space="preserve">   - El Factor de Especie (Fe) se selecciona automáticamente dependiendo de la especie seleccionada</t>
  </si>
  <si>
    <t xml:space="preserve">   - Elige el nivel de Factor de Seguridad, filtración, y plantado, usando la selección correspondiente a cada uno.</t>
  </si>
  <si>
    <t xml:space="preserve">   - Se recomienda un ratio mínimo de 1L/cm de pez adulto.</t>
  </si>
  <si>
    <t xml:space="preserve">   - Si obtienes alertas, revisa tus parámetros.</t>
  </si>
  <si>
    <t xml:space="preserve">   - Si deseas eliminar una celda, posiciona  el cursor sobre ella y vacía el contenido, exceptuando las formulas</t>
  </si>
  <si>
    <t xml:space="preserve">3. Consejos y advertencias:</t>
  </si>
  <si>
    <t xml:space="preserve">   - Nunca excedas la capacidad de la carga biológica de tu acuario.</t>
  </si>
  <si>
    <t xml:space="preserve">   - Considera siempre el tamaño adulto máximo de tus peces.</t>
  </si>
  <si>
    <t xml:space="preserve">   - Verifica compatibilidad entre especies y necesidades de parámetros del agua.</t>
  </si>
</sst>
</file>

<file path=xl/styles.xml><?xml version="1.0" encoding="utf-8"?>
<styleSheet xmlns="http://schemas.openxmlformats.org/spreadsheetml/2006/main">
  <numFmts count="3">
    <numFmt numFmtId="164" formatCode="General"/>
    <numFmt numFmtId="165" formatCode="0.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b val="true"/>
      <sz val="11"/>
      <color theme="1"/>
      <name val="Calibri"/>
      <family val="2"/>
      <charset val="1"/>
    </font>
    <font>
      <b val="true"/>
      <sz val="14"/>
      <color rgb="FFFFFF00"/>
      <name val="Calibri"/>
      <family val="2"/>
      <charset val="1"/>
    </font>
    <font>
      <sz val="11"/>
      <color rgb="FF000000"/>
      <name val="Calibri"/>
      <family val="2"/>
      <charset val="1"/>
    </font>
    <font>
      <b val="true"/>
      <sz val="11"/>
      <color rgb="FFFFFF00"/>
      <name val="Calibri"/>
      <family val="2"/>
      <charset val="1"/>
    </font>
    <font>
      <b val="true"/>
      <sz val="14"/>
      <color rgb="FFFFFFFF"/>
      <name val="Calibri"/>
      <family val="2"/>
      <charset val="1"/>
    </font>
    <font>
      <sz val="10"/>
      <name val="Arial"/>
      <family val="2"/>
    </font>
    <font>
      <sz val="13"/>
      <color theme="1"/>
      <name val="Calibri"/>
      <family val="2"/>
      <charset val="1"/>
    </font>
  </fonts>
  <fills count="5">
    <fill>
      <patternFill patternType="none"/>
    </fill>
    <fill>
      <patternFill patternType="gray125"/>
    </fill>
    <fill>
      <patternFill patternType="solid">
        <fgColor rgb="FF729FCF"/>
        <bgColor rgb="FF969696"/>
      </patternFill>
    </fill>
    <fill>
      <patternFill patternType="solid">
        <fgColor rgb="FF3FAF46"/>
        <bgColor rgb="FF158466"/>
      </patternFill>
    </fill>
    <fill>
      <patternFill patternType="solid">
        <fgColor rgb="FF158466"/>
        <bgColor rgb="FF0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true" hidden="true"/>
    </xf>
    <xf numFmtId="164" fontId="0" fillId="0" borderId="0" xfId="0" applyFont="false" applyBorder="fals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true">
      <alignment horizontal="center" vertical="bottom" textRotation="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top" textRotation="0" wrapText="false" indent="0" shrinkToFit="false"/>
      <protection locked="true" hidden="false"/>
    </xf>
    <xf numFmtId="164" fontId="5" fillId="2" borderId="0" xfId="0" applyFont="true" applyBorder="false" applyAlignment="true" applyProtection="true">
      <alignment horizontal="center" vertical="top" textRotation="0" wrapText="true" indent="0" shrinkToFit="false"/>
      <protection locked="true" hidden="false"/>
    </xf>
    <xf numFmtId="165" fontId="5" fillId="2" borderId="0" xfId="0" applyFont="true" applyBorder="false" applyAlignment="true" applyProtection="true">
      <alignment horizontal="center" vertical="top" textRotation="0" wrapText="true" indent="0" shrinkToFit="false"/>
      <protection locked="true" hidden="true"/>
    </xf>
    <xf numFmtId="164" fontId="5" fillId="2" borderId="0" xfId="0" applyFont="true" applyBorder="fals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center" vertical="top" textRotation="0" wrapText="true" indent="0" shrinkToFit="false"/>
      <protection locked="true" hidden="true"/>
    </xf>
    <xf numFmtId="164" fontId="6" fillId="3" borderId="0" xfId="0" applyFont="true" applyBorder="false" applyAlignment="true" applyProtection="true">
      <alignment horizontal="general" vertical="bottom" textRotation="0" wrapText="false" indent="0" shrinkToFit="false"/>
      <protection locked="false" hidden="false"/>
    </xf>
    <xf numFmtId="164" fontId="7" fillId="3" borderId="0" xfId="0" applyFont="true" applyBorder="false" applyAlignment="true" applyProtection="true">
      <alignment horizontal="general" vertical="bottom" textRotation="0" wrapText="false" indent="0" shrinkToFit="false"/>
      <protection locked="false" hidden="false"/>
    </xf>
    <xf numFmtId="166" fontId="7" fillId="3" borderId="0" xfId="0" applyFont="true" applyBorder="false" applyAlignment="true" applyProtection="true">
      <alignment horizontal="general" vertical="bottom" textRotation="0" wrapText="false" indent="0" shrinkToFit="false"/>
      <protection locked="false" hidden="false"/>
    </xf>
    <xf numFmtId="165" fontId="8" fillId="3" borderId="0" xfId="0" applyFont="true" applyBorder="false" applyAlignment="true" applyProtection="true">
      <alignment horizontal="center" vertical="bottom" textRotation="0" wrapText="false" indent="0" shrinkToFit="false"/>
      <protection locked="true" hidden="true"/>
    </xf>
    <xf numFmtId="164" fontId="7" fillId="3" borderId="0" xfId="0" applyFont="true" applyBorder="false" applyAlignment="true" applyProtection="true">
      <alignment horizontal="center" vertical="bottom" textRotation="0" wrapText="false" indent="0" shrinkToFit="false"/>
      <protection locked="false" hidden="false"/>
    </xf>
    <xf numFmtId="164" fontId="7" fillId="3" borderId="0" xfId="0" applyFont="true" applyBorder="false" applyAlignment="true" applyProtection="true">
      <alignment horizontal="center" vertical="bottom" textRotation="0" wrapText="true" indent="0" shrinkToFit="false"/>
      <protection locked="false" hidden="false"/>
    </xf>
    <xf numFmtId="164" fontId="8"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true">
      <alignment horizontal="general" vertical="bottom" textRotation="0" wrapText="false" indent="0" shrinkToFit="false"/>
      <protection locked="false" hidden="false"/>
    </xf>
    <xf numFmtId="166" fontId="0" fillId="3" borderId="0" xfId="0" applyFont="false" applyBorder="false" applyAlignment="true" applyProtection="true">
      <alignment horizontal="general" vertical="bottom" textRotation="0" wrapText="false" indent="0" shrinkToFit="false"/>
      <protection locked="fals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9" fillId="4" borderId="0" xfId="0" applyFont="true" applyBorder="false" applyAlignment="true" applyProtection="true">
      <alignment horizontal="general" vertical="center" textRotation="0" wrapText="false" indent="0" shrinkToFit="false"/>
      <protection locked="true" hidden="false"/>
    </xf>
    <xf numFmtId="166" fontId="9" fillId="4" borderId="0" xfId="0" applyFont="true" applyBorder="false" applyAlignment="true" applyProtection="true">
      <alignment horizontal="center" vertical="center" textRotation="0" wrapText="false" indent="0" shrinkToFit="false"/>
      <protection locked="true" hidden="tru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0" fillId="3"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FAF46"/>
          <bgColor rgb="FF000000"/>
        </patternFill>
      </fill>
    </dxf>
    <dxf>
      <fill>
        <patternFill patternType="solid">
          <fgColor rgb="FF729FCF"/>
          <bgColor rgb="FF000000"/>
        </patternFill>
      </fill>
    </dxf>
    <dxf>
      <fill>
        <patternFill patternType="solid">
          <fgColor rgb="FF000000"/>
          <bgColor rgb="FF000000"/>
        </patternFill>
      </fill>
    </dxf>
    <dxf>
      <fill>
        <patternFill patternType="solid">
          <fgColor rgb="FFFFFF0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8466"/>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AF4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841680</xdr:colOff>
      <xdr:row>1</xdr:row>
      <xdr:rowOff>100800</xdr:rowOff>
    </xdr:from>
    <xdr:to>
      <xdr:col>4</xdr:col>
      <xdr:colOff>187200</xdr:colOff>
      <xdr:row>10</xdr:row>
      <xdr:rowOff>150480</xdr:rowOff>
    </xdr:to>
    <xdr:pic>
      <xdr:nvPicPr>
        <xdr:cNvPr id="0" name="Imagen 1" descr=""/>
        <xdr:cNvPicPr/>
      </xdr:nvPicPr>
      <xdr:blipFill>
        <a:blip r:embed="rId1">
          <a:alphaModFix amt="35000"/>
        </a:blip>
        <a:stretch/>
      </xdr:blipFill>
      <xdr:spPr>
        <a:xfrm>
          <a:off x="3782880" y="555480"/>
          <a:ext cx="2032200" cy="2032200"/>
        </a:xfrm>
        <a:prstGeom prst="rect">
          <a:avLst/>
        </a:prstGeom>
        <a:noFill/>
        <a:ln w="0">
          <a:noFill/>
        </a:ln>
      </xdr:spPr>
    </xdr:pic>
    <xdr:clientData/>
  </xdr:twoCellAnchor>
</xdr:wsDr>
</file>

<file path=xl/tables/table1.xml><?xml version="1.0" encoding="utf-8"?>
<table xmlns="http://schemas.openxmlformats.org/spreadsheetml/2006/main" id="1" name="BaseDatosEspecieAmpliada" displayName="BaseDatosEspecieAmpliada" ref="A1:H20" headerRowCount="1" totalsRowCount="0" totalsRowShown="0">
  <tableColumns count="8">
    <tableColumn id="1" name="Especie / Grupo"/>
    <tableColumn id="2" name="Ejemplos más comunes"/>
    <tableColumn id="3" name="Nombre científico principal"/>
    <tableColumn id="4" name="Tipo acuario"/>
    <tableColumn id="5" name="Tamaño Adulto (cm)"/>
    <tableColumn id="6" name="Factor Especie"/>
    <tableColumn id="7" name="Temperatura Ideal (°C)"/>
    <tableColumn id="8" name="Notas"/>
  </tableColumns>
</table>
</file>

<file path=xl/tables/table2.xml><?xml version="1.0" encoding="utf-8"?>
<table xmlns="http://schemas.openxmlformats.org/spreadsheetml/2006/main" id="2" name="Basededatosampliada" displayName="Basededatosampliada" ref="A1:H20" headerRowCount="1" totalsRowCount="0" totalsRowShown="0">
  <tableColumns count="8">
    <tableColumn id="1" name="Especie / Grupo"/>
    <tableColumn id="2" name="Ejemplos más comunes"/>
    <tableColumn id="3" name="Nombre científico principal"/>
    <tableColumn id="4" name="Tipo acuario"/>
    <tableColumn id="5" name="Tamaño Adulto (cm)"/>
    <tableColumn id="6" name="Factor Especie"/>
    <tableColumn id="7" name="Temperatura Ideal (°C)"/>
    <tableColumn id="8" name="Notas"/>
  </tableColumns>
</table>
</file>

<file path=xl/tables/table3.xml><?xml version="1.0" encoding="utf-8"?>
<table xmlns="http://schemas.openxmlformats.org/spreadsheetml/2006/main" id="3" name="FactorSeguridad" displayName="FactorSeguridad" ref="A1:B5" headerRowCount="1" totalsRowCount="0" totalsRowShown="0">
  <tableColumns count="2">
    <tableColumn id="1" name="Nivel de experiencia"/>
    <tableColumn id="2" name="Factor"/>
  </tableColumns>
</table>
</file>

<file path=xl/tables/table4.xml><?xml version="1.0" encoding="utf-8"?>
<table xmlns="http://schemas.openxmlformats.org/spreadsheetml/2006/main" id="4" name="Filtración" displayName="Filtración" ref="A1:B5" headerRowCount="1" totalsRowCount="0" totalsRowShown="0">
  <tableColumns count="2">
    <tableColumn id="1" name="Tipo de Filtración"/>
    <tableColumn id="2" name="Factor"/>
  </tableColumns>
</table>
</file>

<file path=xl/tables/table5.xml><?xml version="1.0" encoding="utf-8"?>
<table xmlns="http://schemas.openxmlformats.org/spreadsheetml/2006/main" id="5" name="SistemaPlantado" displayName="SistemaPlantado" ref="A1:B5" headerRowCount="1" totalsRowCount="0" totalsRowShown="0">
  <tableColumns count="2">
    <tableColumn id="1" name="Sin plantas: 1.0"/>
    <tableColumn id="2" name="Columna2"/>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H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6796875" defaultRowHeight="15" customHeight="true" zeroHeight="true" outlineLevelRow="0" outlineLevelCol="0"/>
  <cols>
    <col collapsed="false" customWidth="true" hidden="false" outlineLevel="0" max="1" min="1" style="1" width="41.73"/>
    <col collapsed="false" customWidth="true" hidden="false" outlineLevel="0" max="2" min="2" style="2" width="15.16"/>
    <col collapsed="false" customWidth="true" hidden="false" outlineLevel="0" max="3" min="3" style="2" width="11.96"/>
    <col collapsed="false" customWidth="true" hidden="false" outlineLevel="0" max="4" min="4" style="3" width="10.99"/>
    <col collapsed="false" customWidth="true" hidden="false" outlineLevel="0" max="5" min="5" style="4" width="10.43"/>
    <col collapsed="false" customWidth="true" hidden="false" outlineLevel="0" max="6" min="6" style="4" width="11.39"/>
    <col collapsed="false" customWidth="true" hidden="false" outlineLevel="0" max="7" min="7" style="2" width="15.72"/>
    <col collapsed="false" customWidth="true" hidden="false" outlineLevel="0" max="8" min="8" style="5" width="13.35"/>
    <col collapsed="false" customWidth="false" hidden="true" outlineLevel="0" max="16384" min="9" style="6" width="8.68"/>
  </cols>
  <sheetData>
    <row r="1" customFormat="false" ht="35.8" hidden="false" customHeight="true" outlineLevel="0" collapsed="false">
      <c r="A1" s="7" t="s">
        <v>0</v>
      </c>
      <c r="B1" s="8" t="s">
        <v>1</v>
      </c>
      <c r="C1" s="8" t="s">
        <v>2</v>
      </c>
      <c r="D1" s="9" t="s">
        <v>3</v>
      </c>
      <c r="E1" s="10" t="s">
        <v>4</v>
      </c>
      <c r="F1" s="8" t="s">
        <v>5</v>
      </c>
      <c r="G1" s="8" t="s">
        <v>6</v>
      </c>
      <c r="H1" s="11" t="s">
        <v>7</v>
      </c>
    </row>
    <row r="2" customFormat="false" ht="17.35" hidden="false" customHeight="false" outlineLevel="0" collapsed="false">
      <c r="A2" s="12"/>
      <c r="B2" s="13"/>
      <c r="C2" s="14"/>
      <c r="D2" s="15" t="e">
        <f aca="false">VLOOKUP(A2,BaseDatosEspeciesAmpliada!A2:H20,6,0)</f>
        <v>#N/A</v>
      </c>
      <c r="E2" s="16"/>
      <c r="F2" s="17"/>
      <c r="G2" s="16"/>
      <c r="H2" s="18" t="e">
        <f aca="false">ROUND(B2*C2*D2*E2*F2*G2,0)</f>
        <v>#N/A</v>
      </c>
    </row>
    <row r="3" customFormat="false" ht="17.35" hidden="false" customHeight="false" outlineLevel="0" collapsed="false">
      <c r="A3" s="12"/>
      <c r="B3" s="19"/>
      <c r="C3" s="20"/>
      <c r="D3" s="15" t="e">
        <f aca="false">VLOOKUP(A3,BaseDatosEspeciesAmpliada!A2:H20,6,0)</f>
        <v>#N/A</v>
      </c>
      <c r="E3" s="21"/>
      <c r="F3" s="21"/>
      <c r="G3" s="21"/>
      <c r="H3" s="18" t="e">
        <f aca="false">ROUND(B3*C3*D3*E3*F3*G3,0)</f>
        <v>#N/A</v>
      </c>
    </row>
    <row r="4" customFormat="false" ht="17.35" hidden="false" customHeight="false" outlineLevel="0" collapsed="false">
      <c r="A4" s="12"/>
      <c r="B4" s="19"/>
      <c r="C4" s="20"/>
      <c r="D4" s="15" t="e">
        <f aca="false">VLOOKUP(A4,BaseDatosEspeciesAmpliada!A2:H20,6,0)</f>
        <v>#N/A</v>
      </c>
      <c r="E4" s="21"/>
      <c r="F4" s="21"/>
      <c r="G4" s="21"/>
      <c r="H4" s="18" t="e">
        <f aca="false">ROUND(B4*C4*D4*E4*F4*G4,0)</f>
        <v>#N/A</v>
      </c>
    </row>
    <row r="5" customFormat="false" ht="17.35" hidden="false" customHeight="false" outlineLevel="0" collapsed="false">
      <c r="A5" s="12"/>
      <c r="B5" s="19"/>
      <c r="C5" s="20"/>
      <c r="D5" s="15" t="e">
        <f aca="false">VLOOKUP(A5,BaseDatosEspeciesAmpliada!A2:H20,6,0)</f>
        <v>#N/A</v>
      </c>
      <c r="E5" s="21"/>
      <c r="F5" s="21"/>
      <c r="G5" s="21"/>
      <c r="H5" s="18" t="e">
        <f aca="false">ROUND(B5*C5*D5*E5*F5*G5,0)</f>
        <v>#N/A</v>
      </c>
    </row>
    <row r="6" customFormat="false" ht="17.35" hidden="false" customHeight="false" outlineLevel="0" collapsed="false">
      <c r="A6" s="12"/>
      <c r="B6" s="19"/>
      <c r="C6" s="20"/>
      <c r="D6" s="15" t="e">
        <f aca="false">VLOOKUP(A6,BaseDatosEspeciesAmpliada!A2:H20,6,0)</f>
        <v>#N/A</v>
      </c>
      <c r="E6" s="21"/>
      <c r="F6" s="21"/>
      <c r="G6" s="21"/>
      <c r="H6" s="18" t="e">
        <f aca="false">ROUND(B6*C6*D6*E6*F6*G6,0)</f>
        <v>#N/A</v>
      </c>
    </row>
    <row r="7" customFormat="false" ht="17.35" hidden="false" customHeight="false" outlineLevel="0" collapsed="false">
      <c r="A7" s="12"/>
      <c r="B7" s="19"/>
      <c r="C7" s="20"/>
      <c r="D7" s="15" t="e">
        <f aca="false">VLOOKUP(A7,BaseDatosEspeciesAmpliada!A2:H20,6,0)</f>
        <v>#N/A</v>
      </c>
      <c r="E7" s="21"/>
      <c r="F7" s="21"/>
      <c r="G7" s="21"/>
      <c r="H7" s="18" t="e">
        <f aca="false">ROUND(B7*C7*D7*E7*F7*G7,0)</f>
        <v>#N/A</v>
      </c>
    </row>
    <row r="8" customFormat="false" ht="17.35" hidden="false" customHeight="false" outlineLevel="0" collapsed="false">
      <c r="A8" s="12"/>
      <c r="B8" s="19"/>
      <c r="C8" s="20"/>
      <c r="D8" s="15" t="e">
        <f aca="false">VLOOKUP(A8,BaseDatosEspeciesAmpliada!A2:H20,6,0)</f>
        <v>#N/A</v>
      </c>
      <c r="E8" s="21"/>
      <c r="F8" s="21"/>
      <c r="G8" s="21"/>
      <c r="H8" s="18" t="e">
        <f aca="false">ROUND(B8*C8*D8*E8*F8*G8,0)</f>
        <v>#N/A</v>
      </c>
    </row>
    <row r="9" customFormat="false" ht="17.3" hidden="false" customHeight="true" outlineLevel="0" collapsed="false">
      <c r="A9" s="12"/>
      <c r="B9" s="19"/>
      <c r="C9" s="20"/>
      <c r="D9" s="15" t="e">
        <f aca="false">VLOOKUP(A9,BaseDatosEspeciesAmpliada!A2:H20,6,0)</f>
        <v>#N/A</v>
      </c>
      <c r="E9" s="21"/>
      <c r="F9" s="21"/>
      <c r="G9" s="21"/>
      <c r="H9" s="18" t="e">
        <f aca="false">ROUND(B9*C9*D9*E9*F9*G9,0)</f>
        <v>#N/A</v>
      </c>
    </row>
    <row r="10" customFormat="false" ht="17.35" hidden="false" customHeight="false" outlineLevel="0" collapsed="false">
      <c r="A10" s="12"/>
      <c r="B10" s="19"/>
      <c r="C10" s="20"/>
      <c r="D10" s="15" t="e">
        <f aca="false">VLOOKUP(A10,BaseDatosEspeciesAmpliada!A2:H20,6,0)</f>
        <v>#N/A</v>
      </c>
      <c r="E10" s="21"/>
      <c r="F10" s="21"/>
      <c r="G10" s="21"/>
      <c r="H10" s="18" t="e">
        <f aca="false">ROUND(B10*C10*D10*E10*F10*G10,0)</f>
        <v>#N/A</v>
      </c>
    </row>
    <row r="11" customFormat="false" ht="22.35" hidden="false" customHeight="true" outlineLevel="0" collapsed="false">
      <c r="A11" s="12"/>
      <c r="B11" s="19"/>
      <c r="C11" s="20"/>
      <c r="D11" s="15" t="e">
        <f aca="false">VLOOKUP(A11,BaseDatosEspeciesAmpliada!A2:H20,6,0)</f>
        <v>#N/A</v>
      </c>
      <c r="E11" s="21"/>
      <c r="F11" s="21"/>
      <c r="G11" s="21"/>
      <c r="H11" s="18" t="e">
        <f aca="false">ROUND(B11*C11*D11*E11*F11*G11,0)</f>
        <v>#N/A</v>
      </c>
    </row>
    <row r="12" customFormat="false" ht="15" hidden="false" customHeight="true" outlineLevel="0" collapsed="false">
      <c r="B12" s="2" t="s">
        <v>8</v>
      </c>
      <c r="C12" s="2" t="s">
        <v>8</v>
      </c>
      <c r="H12" s="6"/>
    </row>
    <row r="13" customFormat="false" ht="25.5" hidden="false" customHeight="true" outlineLevel="0" collapsed="false">
      <c r="A13" s="22" t="s">
        <v>9</v>
      </c>
      <c r="B13" s="23" t="str">
        <f aca="false">ROUND((((SUMIF(H2:H11,"&gt;=0"))*0.7)*0.9),0)&amp;" Litros"</f>
        <v>0 Litros</v>
      </c>
    </row>
    <row r="14" customFormat="false" ht="15" hidden="true" customHeight="true" outlineLevel="0" collapsed="false">
      <c r="H14" s="5" t="s">
        <v>8</v>
      </c>
    </row>
    <row r="16" customFormat="false" ht="15" hidden="true" customHeight="true" outlineLevel="0" collapsed="false">
      <c r="C16" s="24" t="s">
        <v>8</v>
      </c>
    </row>
    <row r="1048576" customFormat="false" ht="12.8" hidden="true" customHeight="true" outlineLevel="0" collapsed="false"/>
  </sheetData>
  <sheetProtection sheet="true" password="80a1" objects="true" scenarios="true" selectLockedCells="true"/>
  <autoFilter ref="H1:H11">
    <filterColumn colId="0" hiddenButton="1"/>
  </autoFilter>
  <dataValidations count="4">
    <dataValidation allowBlank="false" errorStyle="stop" operator="between" showDropDown="false" showErrorMessage="true" showInputMessage="true" sqref="A2:A11" type="list">
      <mc:AlternateContent xmlns:x12ac="http://schemas.microsoft.com/office/spreadsheetml/2011/1/ac" xmlns:mc="http://schemas.openxmlformats.org/markup-compatibility/2006">
        <mc:Choice Requires="x12ac">
          <x12ac:list>Tetras pequeños,Rasboras,Danios/barbos pequeños,Guppys,Mollies/platys/espadas,Betta,Gourami y colisas,Corydoras,Ancistrus,Otocinclus,Plecostomus (grandes),Escalar (Angelfish),Ramirezi/Apistogramma,Cíclidos africanos,Goldfish (Carassius),Disco,Arowana/peces grandes,"Peces marinos (payaso, damisela)",Peces marinos grandes (cirujano),</x12ac:list>
        </mc:Choice>
        <mc:Fallback>
          <formula1>"Tetras pequeños,Rasboras,Danios/barbos pequeños,Guppys,Mollies/platys/espadas,Betta,Gourami y colisas,Corydoras,Ancistrus,Otocinclus,Plecostomus (grandes),Escalar (Angelfish),Ramirezi/Apistogramma,Cíclidos africanos,Goldfish (Carassius),Disco,Arowana/pece"</formula1>
        </mc:Fallback>
      </mc:AlternateContent>
      <formula2>0</formula2>
    </dataValidation>
    <dataValidation allowBlank="true" errorStyle="stop" operator="equal" showDropDown="false" showErrorMessage="true" showInputMessage="false" sqref="E2:E11" type="list">
      <formula1>FactorSeguridad!$A$2:$B$5</formula1>
      <formula2>0</formula2>
    </dataValidation>
    <dataValidation allowBlank="true" errorStyle="stop" operator="equal" showDropDown="false" showErrorMessage="true" showInputMessage="false" sqref="F2:F11" type="list">
      <mc:AlternateContent xmlns:x12ac="http://schemas.microsoft.com/office/spreadsheetml/2011/1/ac" xmlns:mc="http://schemas.openxmlformats.org/markup-compatibility/2006">
        <mc:Choice Requires="x12ac">
          <x12ac:list>Básica	,"1,4",Estándar	,"1,2",Avanzada,"1,0",Profesional	,"0,8",</x12ac:list>
        </mc:Choice>
        <mc:Fallback>
          <formula1>"Básica	,1,4,Estándar	,1,2,Avanzada,1,0,Profesional	,0,8,"</formula1>
        </mc:Fallback>
      </mc:AlternateContent>
      <formula2>0</formula2>
    </dataValidation>
    <dataValidation allowBlank="true" errorStyle="stop" operator="equal" showDropDown="false" showErrorMessage="true" showInputMessage="false" sqref="G2:G11" type="list">
      <mc:AlternateContent xmlns:x12ac="http://schemas.microsoft.com/office/spreadsheetml/2011/1/ac" xmlns:mc="http://schemas.openxmlformats.org/markup-compatibility/2006">
        <mc:Choice Requires="x12ac">
          <x12ac:list>Sin plantas: ,"1,0",,Ligeramente plantado: ,"0,95",,Moderadamente plantado: ,"0,9",,Densamente plantado: ,"0,85",,Estilo holandés/natural: ,"0,8"</x12ac:list>
        </mc:Choice>
        <mc:Fallback>
          <formula1>"Sin plantas: ,1,0,,Ligeramente plantado: ,0,95,,Moderadamente plantado: ,0,9,,Densamente plantado: ,0,85,,Estilo holandés/natural: ,0,8"</formula1>
        </mc:Fallback>
      </mc:AlternateContent>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F16" activeCellId="0" sqref="F16"/>
    </sheetView>
  </sheetViews>
  <sheetFormatPr defaultColWidth="11.53515625" defaultRowHeight="12.8" customHeight="true" zeroHeight="true" outlineLevelRow="0" outlineLevelCol="0"/>
  <cols>
    <col collapsed="false" customWidth="true" hidden="false" outlineLevel="0" max="1" min="1" style="25" width="13.63"/>
    <col collapsed="false" customWidth="false" hidden="false" outlineLevel="0" max="2" min="2" style="25" width="11.53"/>
    <col collapsed="false" customWidth="true" hidden="false" outlineLevel="0" max="3" min="3" style="25" width="20.31"/>
    <col collapsed="false" customWidth="false" hidden="false" outlineLevel="0" max="8" min="4" style="25" width="11.53"/>
    <col collapsed="false" customWidth="false" hidden="true" outlineLevel="0" max="16384" min="9" style="6" width="11.53"/>
  </cols>
  <sheetData>
    <row r="1" customFormat="false" ht="35.05" hidden="false" customHeight="false" outlineLevel="0" collapsed="false">
      <c r="A1" s="26" t="s">
        <v>10</v>
      </c>
      <c r="B1" s="26" t="s">
        <v>11</v>
      </c>
      <c r="C1" s="26" t="s">
        <v>12</v>
      </c>
      <c r="D1" s="26" t="s">
        <v>13</v>
      </c>
      <c r="E1" s="26" t="s">
        <v>14</v>
      </c>
      <c r="F1" s="26" t="s">
        <v>15</v>
      </c>
      <c r="G1" s="26" t="s">
        <v>16</v>
      </c>
      <c r="H1" s="26" t="s">
        <v>17</v>
      </c>
    </row>
    <row r="2" customFormat="false" ht="46.25" hidden="false" customHeight="false" outlineLevel="0" collapsed="false">
      <c r="A2" s="27" t="s">
        <v>18</v>
      </c>
      <c r="B2" s="27" t="s">
        <v>19</v>
      </c>
      <c r="C2" s="27" t="s">
        <v>20</v>
      </c>
      <c r="D2" s="27" t="s">
        <v>21</v>
      </c>
      <c r="E2" s="27" t="s">
        <v>22</v>
      </c>
      <c r="F2" s="27" t="n">
        <v>1.5</v>
      </c>
      <c r="G2" s="27" t="s">
        <v>23</v>
      </c>
      <c r="H2" s="27" t="s">
        <v>24</v>
      </c>
    </row>
    <row r="3" customFormat="false" ht="35.05" hidden="false" customHeight="false" outlineLevel="0" collapsed="false">
      <c r="A3" s="27" t="s">
        <v>25</v>
      </c>
      <c r="B3" s="27" t="s">
        <v>26</v>
      </c>
      <c r="C3" s="27" t="s">
        <v>27</v>
      </c>
      <c r="D3" s="27" t="s">
        <v>21</v>
      </c>
      <c r="E3" s="27" t="s">
        <v>28</v>
      </c>
      <c r="F3" s="27" t="n">
        <v>1.5</v>
      </c>
      <c r="G3" s="27" t="s">
        <v>23</v>
      </c>
      <c r="H3" s="27" t="s">
        <v>29</v>
      </c>
    </row>
    <row r="4" customFormat="false" ht="35.05" hidden="false" customHeight="false" outlineLevel="0" collapsed="false">
      <c r="A4" s="27" t="s">
        <v>30</v>
      </c>
      <c r="B4" s="27" t="s">
        <v>31</v>
      </c>
      <c r="C4" s="27" t="s">
        <v>32</v>
      </c>
      <c r="D4" s="27" t="s">
        <v>21</v>
      </c>
      <c r="E4" s="27" t="s">
        <v>22</v>
      </c>
      <c r="F4" s="27" t="n">
        <v>1.4</v>
      </c>
      <c r="G4" s="27" t="s">
        <v>33</v>
      </c>
      <c r="H4" s="27" t="s">
        <v>34</v>
      </c>
    </row>
    <row r="5" customFormat="false" ht="35.05" hidden="false" customHeight="false" outlineLevel="0" collapsed="false">
      <c r="A5" s="27" t="s">
        <v>35</v>
      </c>
      <c r="B5" s="27" t="s">
        <v>36</v>
      </c>
      <c r="C5" s="27" t="s">
        <v>37</v>
      </c>
      <c r="D5" s="27" t="s">
        <v>21</v>
      </c>
      <c r="E5" s="27" t="s">
        <v>38</v>
      </c>
      <c r="F5" s="27" t="n">
        <v>1.4</v>
      </c>
      <c r="G5" s="27" t="s">
        <v>39</v>
      </c>
      <c r="H5" s="27" t="s">
        <v>40</v>
      </c>
    </row>
    <row r="6" customFormat="false" ht="46.25" hidden="false" customHeight="false" outlineLevel="0" collapsed="false">
      <c r="A6" s="27" t="s">
        <v>41</v>
      </c>
      <c r="B6" s="27" t="s">
        <v>42</v>
      </c>
      <c r="C6" s="27" t="s">
        <v>43</v>
      </c>
      <c r="D6" s="27" t="s">
        <v>21</v>
      </c>
      <c r="E6" s="27" t="s">
        <v>44</v>
      </c>
      <c r="F6" s="27" t="n">
        <v>1.5</v>
      </c>
      <c r="G6" s="27" t="s">
        <v>45</v>
      </c>
      <c r="H6" s="27" t="s">
        <v>46</v>
      </c>
    </row>
    <row r="7" customFormat="false" ht="35.05" hidden="false" customHeight="false" outlineLevel="0" collapsed="false">
      <c r="A7" s="27" t="s">
        <v>47</v>
      </c>
      <c r="B7" s="27" t="s">
        <v>48</v>
      </c>
      <c r="C7" s="27" t="s">
        <v>49</v>
      </c>
      <c r="D7" s="27" t="s">
        <v>50</v>
      </c>
      <c r="E7" s="27" t="s">
        <v>51</v>
      </c>
      <c r="F7" s="27" t="n">
        <v>2.2</v>
      </c>
      <c r="G7" s="27" t="s">
        <v>52</v>
      </c>
      <c r="H7" s="27" t="s">
        <v>53</v>
      </c>
    </row>
    <row r="8" customFormat="false" ht="35.05" hidden="false" customHeight="false" outlineLevel="0" collapsed="false">
      <c r="A8" s="27" t="s">
        <v>54</v>
      </c>
      <c r="B8" s="27" t="s">
        <v>55</v>
      </c>
      <c r="C8" s="27" t="s">
        <v>56</v>
      </c>
      <c r="D8" s="27" t="s">
        <v>21</v>
      </c>
      <c r="E8" s="27" t="s">
        <v>57</v>
      </c>
      <c r="F8" s="27" t="n">
        <v>2</v>
      </c>
      <c r="G8" s="27" t="s">
        <v>58</v>
      </c>
      <c r="H8" s="27" t="s">
        <v>59</v>
      </c>
    </row>
    <row r="9" customFormat="false" ht="35.05" hidden="false" customHeight="false" outlineLevel="0" collapsed="false">
      <c r="A9" s="27" t="s">
        <v>60</v>
      </c>
      <c r="B9" s="27" t="s">
        <v>61</v>
      </c>
      <c r="C9" s="27" t="s">
        <v>62</v>
      </c>
      <c r="D9" s="27" t="s">
        <v>63</v>
      </c>
      <c r="E9" s="27" t="s">
        <v>64</v>
      </c>
      <c r="F9" s="27" t="n">
        <v>1.8</v>
      </c>
      <c r="G9" s="27" t="s">
        <v>45</v>
      </c>
      <c r="H9" s="27" t="s">
        <v>65</v>
      </c>
    </row>
    <row r="10" customFormat="false" ht="46.25" hidden="false" customHeight="false" outlineLevel="0" collapsed="false">
      <c r="A10" s="27" t="s">
        <v>66</v>
      </c>
      <c r="B10" s="27" t="s">
        <v>67</v>
      </c>
      <c r="C10" s="27" t="s">
        <v>68</v>
      </c>
      <c r="D10" s="27" t="s">
        <v>63</v>
      </c>
      <c r="E10" s="27" t="s">
        <v>69</v>
      </c>
      <c r="F10" s="27" t="n">
        <v>2.1</v>
      </c>
      <c r="G10" s="27" t="s">
        <v>39</v>
      </c>
      <c r="H10" s="27" t="s">
        <v>70</v>
      </c>
    </row>
    <row r="11" customFormat="false" ht="35.05" hidden="false" customHeight="false" outlineLevel="0" collapsed="false">
      <c r="A11" s="27" t="s">
        <v>71</v>
      </c>
      <c r="B11" s="27" t="s">
        <v>72</v>
      </c>
      <c r="C11" s="27" t="s">
        <v>73</v>
      </c>
      <c r="D11" s="27" t="s">
        <v>63</v>
      </c>
      <c r="E11" s="27" t="s">
        <v>74</v>
      </c>
      <c r="F11" s="27" t="n">
        <v>1.6</v>
      </c>
      <c r="G11" s="27" t="s">
        <v>23</v>
      </c>
      <c r="H11" s="27" t="s">
        <v>75</v>
      </c>
    </row>
    <row r="12" customFormat="false" ht="46.25" hidden="false" customHeight="false" outlineLevel="0" collapsed="false">
      <c r="A12" s="27" t="s">
        <v>76</v>
      </c>
      <c r="B12" s="27" t="s">
        <v>77</v>
      </c>
      <c r="C12" s="27" t="s">
        <v>78</v>
      </c>
      <c r="D12" s="27" t="s">
        <v>79</v>
      </c>
      <c r="E12" s="27" t="s">
        <v>80</v>
      </c>
      <c r="F12" s="27" t="n">
        <v>3.8</v>
      </c>
      <c r="G12" s="27" t="s">
        <v>81</v>
      </c>
      <c r="H12" s="27" t="s">
        <v>82</v>
      </c>
    </row>
    <row r="13" customFormat="false" ht="23.85" hidden="false" customHeight="false" outlineLevel="0" collapsed="false">
      <c r="A13" s="27" t="s">
        <v>83</v>
      </c>
      <c r="B13" s="27" t="s">
        <v>84</v>
      </c>
      <c r="C13" s="27" t="s">
        <v>85</v>
      </c>
      <c r="D13" s="27" t="s">
        <v>86</v>
      </c>
      <c r="E13" s="27" t="n">
        <v>15</v>
      </c>
      <c r="F13" s="27" t="n">
        <v>2.8</v>
      </c>
      <c r="G13" s="27" t="s">
        <v>58</v>
      </c>
      <c r="H13" s="27" t="s">
        <v>87</v>
      </c>
    </row>
    <row r="14" customFormat="false" ht="46.25" hidden="false" customHeight="false" outlineLevel="0" collapsed="false">
      <c r="A14" s="27" t="s">
        <v>88</v>
      </c>
      <c r="B14" s="27" t="s">
        <v>89</v>
      </c>
      <c r="C14" s="27" t="s">
        <v>90</v>
      </c>
      <c r="D14" s="27" t="s">
        <v>21</v>
      </c>
      <c r="E14" s="27" t="s">
        <v>91</v>
      </c>
      <c r="F14" s="27" t="n">
        <v>2.6</v>
      </c>
      <c r="G14" s="27" t="s">
        <v>52</v>
      </c>
      <c r="H14" s="27" t="s">
        <v>92</v>
      </c>
    </row>
    <row r="15" customFormat="false" ht="35.05" hidden="false" customHeight="false" outlineLevel="0" collapsed="false">
      <c r="A15" s="27" t="s">
        <v>93</v>
      </c>
      <c r="B15" s="27" t="s">
        <v>94</v>
      </c>
      <c r="C15" s="27" t="s">
        <v>95</v>
      </c>
      <c r="D15" s="27" t="s">
        <v>96</v>
      </c>
      <c r="E15" s="27" t="s">
        <v>97</v>
      </c>
      <c r="F15" s="27" t="n">
        <v>3</v>
      </c>
      <c r="G15" s="27" t="s">
        <v>58</v>
      </c>
      <c r="H15" s="27" t="s">
        <v>98</v>
      </c>
    </row>
    <row r="16" customFormat="false" ht="46.25" hidden="false" customHeight="false" outlineLevel="0" collapsed="false">
      <c r="A16" s="27" t="s">
        <v>99</v>
      </c>
      <c r="B16" s="27" t="s">
        <v>100</v>
      </c>
      <c r="C16" s="27" t="s">
        <v>101</v>
      </c>
      <c r="D16" s="27" t="s">
        <v>102</v>
      </c>
      <c r="E16" s="27" t="s">
        <v>103</v>
      </c>
      <c r="F16" s="27" t="n">
        <v>5</v>
      </c>
      <c r="G16" s="27" t="s">
        <v>104</v>
      </c>
      <c r="H16" s="27" t="s">
        <v>105</v>
      </c>
    </row>
    <row r="17" customFormat="false" ht="46.25" hidden="false" customHeight="false" outlineLevel="0" collapsed="false">
      <c r="A17" s="27" t="s">
        <v>106</v>
      </c>
      <c r="B17" s="27" t="s">
        <v>106</v>
      </c>
      <c r="C17" s="27" t="s">
        <v>107</v>
      </c>
      <c r="D17" s="27" t="s">
        <v>108</v>
      </c>
      <c r="E17" s="27" t="n">
        <v>20</v>
      </c>
      <c r="F17" s="27" t="n">
        <v>3.5</v>
      </c>
      <c r="G17" s="27" t="s">
        <v>109</v>
      </c>
      <c r="H17" s="27" t="s">
        <v>110</v>
      </c>
    </row>
    <row r="18" customFormat="false" ht="46.25" hidden="false" customHeight="false" outlineLevel="0" collapsed="false">
      <c r="A18" s="27" t="s">
        <v>111</v>
      </c>
      <c r="B18" s="27" t="s">
        <v>112</v>
      </c>
      <c r="C18" s="27" t="s">
        <v>113</v>
      </c>
      <c r="D18" s="27" t="s">
        <v>114</v>
      </c>
      <c r="E18" s="27" t="s">
        <v>115</v>
      </c>
      <c r="F18" s="27" t="n">
        <v>7.5</v>
      </c>
      <c r="G18" s="27" t="s">
        <v>52</v>
      </c>
      <c r="H18" s="27" t="s">
        <v>116</v>
      </c>
    </row>
    <row r="19" customFormat="false" ht="46.25" hidden="false" customHeight="false" outlineLevel="0" collapsed="false">
      <c r="A19" s="27" t="s">
        <v>117</v>
      </c>
      <c r="B19" s="27" t="s">
        <v>118</v>
      </c>
      <c r="C19" s="27" t="s">
        <v>119</v>
      </c>
      <c r="D19" s="27" t="s">
        <v>120</v>
      </c>
      <c r="E19" s="27" t="s">
        <v>57</v>
      </c>
      <c r="F19" s="27" t="n">
        <v>2.4</v>
      </c>
      <c r="G19" s="27" t="s">
        <v>121</v>
      </c>
      <c r="H19" s="27" t="s">
        <v>122</v>
      </c>
    </row>
    <row r="20" customFormat="false" ht="46.25" hidden="false" customHeight="false" outlineLevel="0" collapsed="false">
      <c r="A20" s="27" t="s">
        <v>123</v>
      </c>
      <c r="B20" s="27" t="s">
        <v>124</v>
      </c>
      <c r="C20" s="27" t="s">
        <v>125</v>
      </c>
      <c r="D20" s="27" t="s">
        <v>126</v>
      </c>
      <c r="E20" s="27" t="s">
        <v>127</v>
      </c>
      <c r="F20" s="27" t="n">
        <v>5.5</v>
      </c>
      <c r="G20" s="27" t="s">
        <v>121</v>
      </c>
      <c r="H20" s="27" t="s">
        <v>82</v>
      </c>
    </row>
  </sheetData>
  <sheetProtection sheet="true" password="80a1" objects="true" scenarios="true"/>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tableParts>
    <tablePart r:id="rId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11.53515625" defaultRowHeight="12.8" customHeight="true" zeroHeight="true" outlineLevelRow="0" outlineLevelCol="0"/>
  <cols>
    <col collapsed="false" customWidth="false" hidden="true" outlineLevel="0" max="16384" min="3" style="6" width="11.53"/>
  </cols>
  <sheetData>
    <row r="1" customFormat="false" ht="23.85" hidden="false" customHeight="false" outlineLevel="0" collapsed="false">
      <c r="A1" s="28" t="s">
        <v>128</v>
      </c>
      <c r="B1" s="28" t="s">
        <v>129</v>
      </c>
    </row>
    <row r="2" customFormat="false" ht="13.8" hidden="false" customHeight="false" outlineLevel="0" collapsed="false">
      <c r="A2" s="24" t="s">
        <v>130</v>
      </c>
      <c r="B2" s="24" t="n">
        <v>1.5</v>
      </c>
    </row>
    <row r="3" customFormat="false" ht="13.8" hidden="false" customHeight="false" outlineLevel="0" collapsed="false">
      <c r="A3" s="24" t="s">
        <v>131</v>
      </c>
      <c r="B3" s="24" t="n">
        <v>1.3</v>
      </c>
    </row>
    <row r="4" customFormat="false" ht="13.8" hidden="false" customHeight="false" outlineLevel="0" collapsed="false">
      <c r="A4" s="24" t="s">
        <v>132</v>
      </c>
      <c r="B4" s="24" t="n">
        <v>1.2</v>
      </c>
    </row>
    <row r="5" customFormat="false" ht="13.8" hidden="false" customHeight="false" outlineLevel="0" collapsed="false">
      <c r="A5" s="24" t="s">
        <v>133</v>
      </c>
      <c r="B5" s="24" t="n">
        <v>1.1</v>
      </c>
    </row>
  </sheetData>
  <sheetProtection sheet="true" password="80a1" objects="true" scenarios="true"/>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1.53515625" defaultRowHeight="12.8" customHeight="true" zeroHeight="true" outlineLevelRow="0" outlineLevelCol="0"/>
  <cols>
    <col collapsed="false" customWidth="false" hidden="true" outlineLevel="0" max="16384" min="3" style="6" width="11.53"/>
  </cols>
  <sheetData>
    <row r="1" customFormat="false" ht="23.85" hidden="false" customHeight="false" outlineLevel="0" collapsed="false">
      <c r="A1" s="28" t="s">
        <v>5</v>
      </c>
      <c r="B1" s="28" t="s">
        <v>129</v>
      </c>
    </row>
    <row r="2" customFormat="false" ht="13.8" hidden="false" customHeight="false" outlineLevel="0" collapsed="false">
      <c r="A2" s="24" t="s">
        <v>134</v>
      </c>
      <c r="B2" s="24" t="n">
        <v>1.4</v>
      </c>
    </row>
    <row r="3" customFormat="false" ht="13.8" hidden="false" customHeight="false" outlineLevel="0" collapsed="false">
      <c r="A3" s="24" t="s">
        <v>135</v>
      </c>
      <c r="B3" s="24" t="n">
        <v>1.2</v>
      </c>
    </row>
    <row r="4" customFormat="false" ht="13.8" hidden="false" customHeight="false" outlineLevel="0" collapsed="false">
      <c r="A4" s="24" t="s">
        <v>136</v>
      </c>
      <c r="B4" s="24" t="n">
        <v>1</v>
      </c>
    </row>
    <row r="5" customFormat="false" ht="13.8" hidden="false" customHeight="false" outlineLevel="0" collapsed="false">
      <c r="A5" s="24" t="s">
        <v>137</v>
      </c>
      <c r="B5" s="24" t="n">
        <v>0.8</v>
      </c>
    </row>
  </sheetData>
  <sheetProtection sheet="true" password="80a1" objects="true" scenarios="true"/>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1.53515625" defaultRowHeight="12.8" customHeight="true" zeroHeight="true" outlineLevelRow="0" outlineLevelCol="0"/>
  <cols>
    <col collapsed="false" customWidth="true" hidden="false" outlineLevel="0" max="1" min="1" style="6" width="16.55"/>
    <col collapsed="false" customWidth="false" hidden="true" outlineLevel="0" max="16384" min="3" style="6" width="11.53"/>
  </cols>
  <sheetData>
    <row r="1" customFormat="false" ht="13.8" hidden="false" customHeight="false" outlineLevel="0" collapsed="false">
      <c r="A1" s="29" t="s">
        <v>138</v>
      </c>
      <c r="B1" s="6" t="n">
        <v>1</v>
      </c>
    </row>
    <row r="2" customFormat="false" ht="23.85" hidden="false" customHeight="false" outlineLevel="0" collapsed="false">
      <c r="A2" s="29" t="s">
        <v>139</v>
      </c>
      <c r="B2" s="6" t="n">
        <v>0.95</v>
      </c>
    </row>
    <row r="3" customFormat="false" ht="23.85" hidden="false" customHeight="false" outlineLevel="0" collapsed="false">
      <c r="A3" s="29" t="s">
        <v>140</v>
      </c>
      <c r="B3" s="6" t="n">
        <v>0.9</v>
      </c>
    </row>
    <row r="4" customFormat="false" ht="23.85" hidden="false" customHeight="false" outlineLevel="0" collapsed="false">
      <c r="A4" s="29" t="s">
        <v>141</v>
      </c>
      <c r="B4" s="6" t="n">
        <v>0.85</v>
      </c>
    </row>
    <row r="5" customFormat="false" ht="23.85" hidden="false" customHeight="false" outlineLevel="0" collapsed="false">
      <c r="A5" s="29" t="s">
        <v>142</v>
      </c>
      <c r="B5" s="6" t="n">
        <v>0.8</v>
      </c>
    </row>
  </sheetData>
  <sheetProtection sheet="true" password="80a1" objects="true" scenarios="true"/>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9" activeCellId="0" sqref="F9"/>
    </sheetView>
  </sheetViews>
  <sheetFormatPr defaultColWidth="11.53515625" defaultRowHeight="12.8" customHeight="true" zeroHeight="true" outlineLevelRow="0" outlineLevelCol="0"/>
  <cols>
    <col collapsed="false" customWidth="false" hidden="false" outlineLevel="0" max="1" min="1" style="30" width="11.53"/>
    <col collapsed="false" customWidth="true" hidden="false" outlineLevel="0" max="2" min="2" style="31" width="30.47"/>
    <col collapsed="false" customWidth="true" hidden="false" outlineLevel="0" max="3" min="3" style="31" width="15.72"/>
    <col collapsed="false" customWidth="false" hidden="false" outlineLevel="0" max="12" min="4" style="30" width="11.53"/>
    <col collapsed="false" customWidth="false" hidden="true" outlineLevel="0" max="16384" min="13" style="0" width="11.53"/>
  </cols>
  <sheetData>
    <row r="1" customFormat="false" ht="16.15" hidden="false" customHeight="false" outlineLevel="0" collapsed="false">
      <c r="A1" s="32" t="s">
        <v>143</v>
      </c>
      <c r="B1" s="32"/>
      <c r="C1" s="32"/>
      <c r="D1" s="32"/>
      <c r="E1" s="32"/>
    </row>
    <row r="2" customFormat="false" ht="12.8" hidden="false" customHeight="true" outlineLevel="0" collapsed="false">
      <c r="A2" s="32"/>
      <c r="B2" s="32"/>
      <c r="C2" s="32"/>
      <c r="D2" s="32"/>
      <c r="E2" s="32"/>
    </row>
    <row r="3" customFormat="false" ht="16.15" hidden="false" customHeight="false" outlineLevel="0" collapsed="false">
      <c r="A3" s="32" t="s">
        <v>144</v>
      </c>
      <c r="B3" s="32"/>
      <c r="C3" s="32"/>
      <c r="D3" s="32"/>
      <c r="E3" s="32"/>
    </row>
    <row r="4" customFormat="false" ht="16.15" hidden="false" customHeight="false" outlineLevel="0" collapsed="false">
      <c r="A4" s="32" t="s">
        <v>145</v>
      </c>
      <c r="B4" s="32"/>
      <c r="C4" s="32"/>
      <c r="D4" s="32"/>
      <c r="E4" s="32"/>
    </row>
    <row r="5" customFormat="false" ht="12.8" hidden="false" customHeight="true" outlineLevel="0" collapsed="false">
      <c r="A5" s="32"/>
      <c r="B5" s="32"/>
      <c r="C5" s="32"/>
      <c r="D5" s="32"/>
      <c r="E5" s="32"/>
    </row>
    <row r="6" customFormat="false" ht="16.15" hidden="false" customHeight="false" outlineLevel="0" collapsed="false">
      <c r="A6" s="32" t="s">
        <v>146</v>
      </c>
      <c r="B6" s="32"/>
      <c r="C6" s="32"/>
      <c r="D6" s="32"/>
      <c r="E6" s="32"/>
    </row>
    <row r="7" customFormat="false" ht="16.15" hidden="false" customHeight="false" outlineLevel="0" collapsed="false">
      <c r="A7" s="32" t="s">
        <v>147</v>
      </c>
      <c r="B7" s="32"/>
      <c r="C7" s="32"/>
      <c r="D7" s="32"/>
      <c r="E7" s="32"/>
    </row>
    <row r="8" customFormat="false" ht="16.15" hidden="false" customHeight="false" outlineLevel="0" collapsed="false">
      <c r="A8" s="32" t="s">
        <v>148</v>
      </c>
      <c r="B8" s="32"/>
      <c r="C8" s="32"/>
      <c r="D8" s="32"/>
      <c r="E8" s="32"/>
    </row>
    <row r="9" customFormat="false" ht="16.15" hidden="false" customHeight="false" outlineLevel="0" collapsed="false">
      <c r="A9" s="32" t="s">
        <v>149</v>
      </c>
      <c r="B9" s="32"/>
      <c r="C9" s="32"/>
      <c r="D9" s="32"/>
      <c r="E9" s="32"/>
    </row>
    <row r="10" customFormat="false" ht="16.15" hidden="false" customHeight="false" outlineLevel="0" collapsed="false">
      <c r="A10" s="32" t="s">
        <v>150</v>
      </c>
      <c r="B10" s="32"/>
      <c r="C10" s="32"/>
      <c r="D10" s="32"/>
      <c r="E10" s="32"/>
    </row>
    <row r="11" customFormat="false" ht="16.15" hidden="false" customHeight="false" outlineLevel="0" collapsed="false">
      <c r="A11" s="32" t="s">
        <v>151</v>
      </c>
      <c r="B11" s="32"/>
      <c r="C11" s="32"/>
      <c r="D11" s="32"/>
      <c r="E11" s="32"/>
    </row>
    <row r="12" customFormat="false" ht="16.15" hidden="false" customHeight="false" outlineLevel="0" collapsed="false">
      <c r="A12" s="32" t="s">
        <v>152</v>
      </c>
      <c r="B12" s="32"/>
      <c r="C12" s="32"/>
      <c r="D12" s="32"/>
      <c r="E12" s="32"/>
    </row>
    <row r="13" customFormat="false" ht="16.15" hidden="false" customHeight="false" outlineLevel="0" collapsed="false">
      <c r="A13" s="32"/>
      <c r="B13" s="32"/>
      <c r="C13" s="32"/>
      <c r="D13" s="32"/>
      <c r="E13" s="32"/>
    </row>
    <row r="14" customFormat="false" ht="16.15" hidden="false" customHeight="false" outlineLevel="0" collapsed="false">
      <c r="A14" s="32" t="s">
        <v>153</v>
      </c>
      <c r="B14" s="32"/>
      <c r="C14" s="32"/>
      <c r="D14" s="32"/>
      <c r="E14" s="32"/>
    </row>
    <row r="15" customFormat="false" ht="16.15" hidden="false" customHeight="false" outlineLevel="0" collapsed="false">
      <c r="A15" s="32" t="s">
        <v>154</v>
      </c>
      <c r="B15" s="32"/>
      <c r="C15" s="32"/>
      <c r="D15" s="32"/>
      <c r="E15" s="32"/>
    </row>
    <row r="16" customFormat="false" ht="16.15" hidden="false" customHeight="false" outlineLevel="0" collapsed="false">
      <c r="A16" s="32" t="s">
        <v>155</v>
      </c>
      <c r="B16" s="32"/>
      <c r="C16" s="32"/>
      <c r="D16" s="32"/>
      <c r="E16" s="32"/>
    </row>
    <row r="17" customFormat="false" ht="16.15" hidden="false" customHeight="false" outlineLevel="0" collapsed="false">
      <c r="A17" s="32" t="s">
        <v>156</v>
      </c>
      <c r="B17" s="32"/>
      <c r="C17" s="32"/>
      <c r="D17" s="32"/>
      <c r="E17" s="32"/>
    </row>
    <row r="18" customFormat="false" ht="12.8" hidden="false" customHeight="true" outlineLevel="0" collapsed="false"/>
    <row r="19" customFormat="false" ht="13.8" hidden="true" customHeight="false" outlineLevel="0" collapsed="false">
      <c r="A19" s="31"/>
    </row>
    <row r="20" customFormat="false" ht="13.8" hidden="true" customHeight="false" outlineLevel="0" collapsed="false">
      <c r="A20" s="31"/>
    </row>
    <row r="21" customFormat="false" ht="13.8" hidden="true" customHeight="false" outlineLevel="0" collapsed="false">
      <c r="A21" s="31"/>
    </row>
  </sheetData>
  <sheetProtection sheet="true" password="80a1" objects="true" scenarios="true"/>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306</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2025-08-01T17:26:41Z</dcterms:created>
  <dc:creator>openpyxl</dc:creator>
  <dc:description/>
  <dc:language>es-VE</dc:language>
  <cp:lastModifiedBy/>
  <dcterms:modified xsi:type="dcterms:W3CDTF">2025-08-17T19:15:48Z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